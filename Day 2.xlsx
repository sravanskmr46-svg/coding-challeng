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2d1b7525992b3e/Desktop/"/>
    </mc:Choice>
  </mc:AlternateContent>
  <xr:revisionPtr revIDLastSave="65" documentId="8_{20388D47-693E-443E-8FA1-5BEB7BB289C5}" xr6:coauthVersionLast="47" xr6:coauthVersionMax="47" xr10:uidLastSave="{68ACC76B-D44E-4819-8B67-5F3099A1B4CD}"/>
  <bookViews>
    <workbookView xWindow="-108" yWindow="-108" windowWidth="23256" windowHeight="13176" xr2:uid="{2C8DADCD-F480-46CF-B6B1-3CDD1776946E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K183" i="1"/>
  <c r="J183" i="1"/>
  <c r="I183" i="1"/>
  <c r="H183" i="1"/>
  <c r="G183" i="1"/>
  <c r="K182" i="1"/>
  <c r="I182" i="1"/>
  <c r="J182" i="1" s="1"/>
  <c r="H182" i="1"/>
  <c r="G182" i="1"/>
  <c r="K181" i="1"/>
  <c r="I181" i="1"/>
  <c r="J181" i="1" s="1"/>
  <c r="H181" i="1"/>
  <c r="G181" i="1"/>
  <c r="K180" i="1"/>
  <c r="I180" i="1"/>
  <c r="J180" i="1" s="1"/>
  <c r="H180" i="1"/>
  <c r="G180" i="1"/>
  <c r="K179" i="1"/>
  <c r="I179" i="1"/>
  <c r="J179" i="1" s="1"/>
  <c r="H179" i="1"/>
  <c r="G179" i="1"/>
  <c r="K178" i="1"/>
  <c r="I178" i="1"/>
  <c r="J178" i="1" s="1"/>
  <c r="H178" i="1"/>
  <c r="G178" i="1"/>
  <c r="K177" i="1"/>
  <c r="I177" i="1"/>
  <c r="J177" i="1" s="1"/>
  <c r="H177" i="1"/>
  <c r="G177" i="1"/>
  <c r="K176" i="1"/>
  <c r="I176" i="1"/>
  <c r="J176" i="1" s="1"/>
  <c r="H176" i="1"/>
  <c r="G176" i="1"/>
  <c r="K175" i="1"/>
  <c r="I175" i="1"/>
  <c r="J175" i="1" s="1"/>
  <c r="H175" i="1"/>
  <c r="G175" i="1"/>
  <c r="K174" i="1"/>
  <c r="I174" i="1"/>
  <c r="J174" i="1" s="1"/>
  <c r="H174" i="1"/>
  <c r="G174" i="1"/>
  <c r="K173" i="1"/>
  <c r="I173" i="1"/>
  <c r="J173" i="1" s="1"/>
  <c r="H173" i="1"/>
  <c r="G173" i="1"/>
  <c r="K172" i="1"/>
  <c r="I172" i="1"/>
  <c r="J172" i="1" s="1"/>
  <c r="H172" i="1"/>
  <c r="G172" i="1"/>
  <c r="K171" i="1"/>
  <c r="J171" i="1"/>
  <c r="I171" i="1"/>
  <c r="H171" i="1"/>
  <c r="G171" i="1"/>
  <c r="K170" i="1"/>
  <c r="I170" i="1"/>
  <c r="J170" i="1" s="1"/>
  <c r="H170" i="1"/>
  <c r="G170" i="1"/>
  <c r="K169" i="1"/>
  <c r="I169" i="1"/>
  <c r="J169" i="1" s="1"/>
  <c r="H169" i="1"/>
  <c r="G169" i="1"/>
  <c r="K168" i="1"/>
  <c r="I168" i="1"/>
  <c r="J168" i="1" s="1"/>
  <c r="H168" i="1"/>
  <c r="G168" i="1"/>
  <c r="K167" i="1"/>
  <c r="I167" i="1"/>
  <c r="J167" i="1" s="1"/>
  <c r="H167" i="1"/>
  <c r="G167" i="1"/>
  <c r="K166" i="1"/>
  <c r="I166" i="1"/>
  <c r="J166" i="1" s="1"/>
  <c r="H166" i="1"/>
  <c r="G166" i="1"/>
  <c r="K165" i="1"/>
  <c r="I165" i="1"/>
  <c r="J165" i="1" s="1"/>
  <c r="H165" i="1"/>
  <c r="G165" i="1"/>
  <c r="K164" i="1"/>
  <c r="I164" i="1"/>
  <c r="J164" i="1" s="1"/>
  <c r="H164" i="1"/>
  <c r="G164" i="1"/>
  <c r="K163" i="1"/>
  <c r="I163" i="1"/>
  <c r="J163" i="1" s="1"/>
  <c r="H163" i="1"/>
  <c r="G163" i="1"/>
  <c r="K162" i="1"/>
  <c r="J162" i="1"/>
  <c r="I162" i="1"/>
  <c r="H162" i="1"/>
  <c r="G162" i="1"/>
  <c r="K161" i="1"/>
  <c r="I161" i="1"/>
  <c r="J161" i="1" s="1"/>
  <c r="H161" i="1"/>
  <c r="G161" i="1"/>
  <c r="K160" i="1"/>
  <c r="I160" i="1"/>
  <c r="J160" i="1" s="1"/>
  <c r="H160" i="1"/>
  <c r="G160" i="1"/>
  <c r="K159" i="1"/>
  <c r="J159" i="1"/>
  <c r="I159" i="1"/>
  <c r="H159" i="1"/>
  <c r="G159" i="1"/>
  <c r="K158" i="1"/>
  <c r="I158" i="1"/>
  <c r="J158" i="1" s="1"/>
  <c r="H158" i="1"/>
  <c r="G158" i="1"/>
  <c r="K157" i="1"/>
  <c r="I157" i="1"/>
  <c r="J157" i="1" s="1"/>
  <c r="H157" i="1"/>
  <c r="G157" i="1"/>
  <c r="K156" i="1"/>
  <c r="I156" i="1"/>
  <c r="J156" i="1" s="1"/>
  <c r="H156" i="1"/>
  <c r="G156" i="1"/>
  <c r="K155" i="1"/>
  <c r="I155" i="1"/>
  <c r="J155" i="1" s="1"/>
  <c r="H155" i="1"/>
  <c r="G155" i="1"/>
  <c r="K154" i="1"/>
  <c r="I154" i="1"/>
  <c r="J154" i="1" s="1"/>
  <c r="H154" i="1"/>
  <c r="G154" i="1"/>
  <c r="K153" i="1"/>
  <c r="I153" i="1"/>
  <c r="J153" i="1" s="1"/>
  <c r="H153" i="1"/>
  <c r="G153" i="1"/>
  <c r="K152" i="1"/>
  <c r="I152" i="1"/>
  <c r="J152" i="1" s="1"/>
  <c r="H152" i="1"/>
  <c r="G152" i="1"/>
  <c r="K151" i="1"/>
  <c r="I151" i="1"/>
  <c r="J151" i="1" s="1"/>
  <c r="H151" i="1"/>
  <c r="G151" i="1"/>
  <c r="K150" i="1"/>
  <c r="I150" i="1"/>
  <c r="J150" i="1" s="1"/>
  <c r="H150" i="1"/>
  <c r="G150" i="1"/>
  <c r="K149" i="1"/>
  <c r="I149" i="1"/>
  <c r="J149" i="1" s="1"/>
  <c r="H149" i="1"/>
  <c r="G149" i="1"/>
  <c r="K148" i="1"/>
  <c r="I148" i="1"/>
  <c r="J148" i="1" s="1"/>
  <c r="H148" i="1"/>
  <c r="G148" i="1"/>
  <c r="K147" i="1"/>
  <c r="J147" i="1"/>
  <c r="I147" i="1"/>
  <c r="H147" i="1"/>
  <c r="G147" i="1"/>
  <c r="K146" i="1"/>
  <c r="I146" i="1"/>
  <c r="J146" i="1" s="1"/>
  <c r="H146" i="1"/>
  <c r="G146" i="1"/>
  <c r="K145" i="1"/>
  <c r="I145" i="1"/>
  <c r="J145" i="1" s="1"/>
  <c r="H145" i="1"/>
  <c r="G145" i="1"/>
  <c r="K144" i="1"/>
  <c r="I144" i="1"/>
  <c r="J144" i="1" s="1"/>
  <c r="H144" i="1"/>
  <c r="G144" i="1"/>
  <c r="K143" i="1"/>
  <c r="I143" i="1"/>
  <c r="J143" i="1" s="1"/>
  <c r="H143" i="1"/>
  <c r="G143" i="1"/>
  <c r="K142" i="1"/>
  <c r="I142" i="1"/>
  <c r="J142" i="1" s="1"/>
  <c r="H142" i="1"/>
  <c r="G142" i="1"/>
  <c r="K141" i="1"/>
  <c r="I141" i="1"/>
  <c r="J141" i="1" s="1"/>
  <c r="H141" i="1"/>
  <c r="G141" i="1"/>
  <c r="K140" i="1"/>
  <c r="I140" i="1"/>
  <c r="J140" i="1" s="1"/>
  <c r="H140" i="1"/>
  <c r="G140" i="1"/>
  <c r="K139" i="1"/>
  <c r="I139" i="1"/>
  <c r="J139" i="1" s="1"/>
  <c r="H139" i="1"/>
  <c r="G139" i="1"/>
  <c r="K138" i="1"/>
  <c r="J138" i="1"/>
  <c r="I138" i="1"/>
  <c r="H138" i="1"/>
  <c r="G138" i="1"/>
  <c r="K137" i="1"/>
  <c r="I137" i="1"/>
  <c r="J137" i="1" s="1"/>
  <c r="H137" i="1"/>
  <c r="G137" i="1"/>
  <c r="K136" i="1"/>
  <c r="I136" i="1"/>
  <c r="J136" i="1" s="1"/>
  <c r="H136" i="1"/>
  <c r="G136" i="1"/>
  <c r="K135" i="1"/>
  <c r="J135" i="1"/>
  <c r="I135" i="1"/>
  <c r="H135" i="1"/>
  <c r="G135" i="1"/>
  <c r="K134" i="1"/>
  <c r="I134" i="1"/>
  <c r="J134" i="1" s="1"/>
  <c r="H134" i="1"/>
  <c r="G134" i="1"/>
  <c r="K133" i="1"/>
  <c r="I133" i="1"/>
  <c r="J133" i="1" s="1"/>
  <c r="H133" i="1"/>
  <c r="G133" i="1"/>
  <c r="K132" i="1"/>
  <c r="I132" i="1"/>
  <c r="J132" i="1" s="1"/>
  <c r="H132" i="1"/>
  <c r="G132" i="1"/>
  <c r="K131" i="1"/>
  <c r="I131" i="1"/>
  <c r="J131" i="1" s="1"/>
  <c r="H131" i="1"/>
  <c r="G131" i="1"/>
  <c r="K130" i="1"/>
  <c r="I130" i="1"/>
  <c r="J130" i="1" s="1"/>
  <c r="H130" i="1"/>
  <c r="G130" i="1"/>
  <c r="K129" i="1"/>
  <c r="I129" i="1"/>
  <c r="J129" i="1" s="1"/>
  <c r="H129" i="1"/>
  <c r="G129" i="1"/>
  <c r="K128" i="1"/>
  <c r="I128" i="1"/>
  <c r="J128" i="1" s="1"/>
  <c r="H128" i="1"/>
  <c r="G128" i="1"/>
  <c r="K127" i="1"/>
  <c r="I127" i="1"/>
  <c r="J127" i="1" s="1"/>
  <c r="H127" i="1"/>
  <c r="G127" i="1"/>
  <c r="K126" i="1"/>
  <c r="I126" i="1"/>
  <c r="J126" i="1" s="1"/>
  <c r="H126" i="1"/>
  <c r="G126" i="1"/>
  <c r="K125" i="1"/>
  <c r="I125" i="1"/>
  <c r="J125" i="1" s="1"/>
  <c r="H125" i="1"/>
  <c r="G125" i="1"/>
  <c r="K124" i="1"/>
  <c r="I124" i="1"/>
  <c r="J124" i="1" s="1"/>
  <c r="H124" i="1"/>
  <c r="G124" i="1"/>
  <c r="K123" i="1"/>
  <c r="J123" i="1"/>
  <c r="I123" i="1"/>
  <c r="H123" i="1"/>
  <c r="G123" i="1"/>
  <c r="K122" i="1"/>
  <c r="I122" i="1"/>
  <c r="J122" i="1" s="1"/>
  <c r="H122" i="1"/>
  <c r="G122" i="1"/>
  <c r="K121" i="1"/>
  <c r="I121" i="1"/>
  <c r="J121" i="1" s="1"/>
  <c r="H121" i="1"/>
  <c r="G121" i="1"/>
  <c r="K120" i="1"/>
  <c r="I120" i="1"/>
  <c r="J120" i="1" s="1"/>
  <c r="H120" i="1"/>
  <c r="G120" i="1"/>
  <c r="K119" i="1"/>
  <c r="I119" i="1"/>
  <c r="J119" i="1" s="1"/>
  <c r="H119" i="1"/>
  <c r="G119" i="1"/>
  <c r="K118" i="1"/>
  <c r="I118" i="1"/>
  <c r="J118" i="1" s="1"/>
  <c r="H118" i="1"/>
  <c r="G118" i="1"/>
  <c r="K117" i="1"/>
  <c r="I117" i="1"/>
  <c r="J117" i="1" s="1"/>
  <c r="H117" i="1"/>
  <c r="G117" i="1"/>
  <c r="K116" i="1"/>
  <c r="I116" i="1"/>
  <c r="J116" i="1" s="1"/>
  <c r="H116" i="1"/>
  <c r="G116" i="1"/>
  <c r="K115" i="1"/>
  <c r="I115" i="1"/>
  <c r="J115" i="1" s="1"/>
  <c r="H115" i="1"/>
  <c r="G115" i="1"/>
  <c r="K114" i="1"/>
  <c r="J114" i="1"/>
  <c r="I114" i="1"/>
  <c r="H114" i="1"/>
  <c r="G114" i="1"/>
  <c r="K113" i="1"/>
  <c r="I113" i="1"/>
  <c r="J113" i="1" s="1"/>
  <c r="H113" i="1"/>
  <c r="G113" i="1"/>
  <c r="K112" i="1"/>
  <c r="I112" i="1"/>
  <c r="J112" i="1" s="1"/>
  <c r="H112" i="1"/>
  <c r="G112" i="1"/>
  <c r="K111" i="1"/>
  <c r="J111" i="1"/>
  <c r="I111" i="1"/>
  <c r="H111" i="1"/>
  <c r="G111" i="1"/>
  <c r="K110" i="1"/>
  <c r="I110" i="1"/>
  <c r="J110" i="1" s="1"/>
  <c r="H110" i="1"/>
  <c r="G110" i="1"/>
  <c r="K109" i="1"/>
  <c r="I109" i="1"/>
  <c r="J109" i="1" s="1"/>
  <c r="H109" i="1"/>
  <c r="G109" i="1"/>
  <c r="K108" i="1"/>
  <c r="I108" i="1"/>
  <c r="J108" i="1" s="1"/>
  <c r="H108" i="1"/>
  <c r="G108" i="1"/>
  <c r="K107" i="1"/>
  <c r="I107" i="1"/>
  <c r="J107" i="1" s="1"/>
  <c r="H107" i="1"/>
  <c r="G107" i="1"/>
  <c r="K106" i="1"/>
  <c r="I106" i="1"/>
  <c r="J106" i="1" s="1"/>
  <c r="H106" i="1"/>
  <c r="G106" i="1"/>
  <c r="K105" i="1"/>
  <c r="I105" i="1"/>
  <c r="J105" i="1" s="1"/>
  <c r="H105" i="1"/>
  <c r="G105" i="1"/>
  <c r="K104" i="1"/>
  <c r="I104" i="1"/>
  <c r="J104" i="1" s="1"/>
  <c r="H104" i="1"/>
  <c r="G104" i="1"/>
  <c r="K103" i="1"/>
  <c r="I103" i="1"/>
  <c r="J103" i="1" s="1"/>
  <c r="H103" i="1"/>
  <c r="G103" i="1"/>
  <c r="K102" i="1"/>
  <c r="I102" i="1"/>
  <c r="J102" i="1" s="1"/>
  <c r="H102" i="1"/>
  <c r="G102" i="1"/>
  <c r="K101" i="1"/>
  <c r="I101" i="1"/>
  <c r="J101" i="1" s="1"/>
  <c r="H101" i="1"/>
  <c r="G101" i="1"/>
  <c r="K100" i="1"/>
  <c r="I100" i="1"/>
  <c r="J100" i="1" s="1"/>
  <c r="H100" i="1"/>
  <c r="G100" i="1"/>
  <c r="K99" i="1"/>
  <c r="J99" i="1"/>
  <c r="I99" i="1"/>
  <c r="H99" i="1"/>
  <c r="G99" i="1"/>
  <c r="K98" i="1"/>
  <c r="I98" i="1"/>
  <c r="J98" i="1" s="1"/>
  <c r="H98" i="1"/>
  <c r="G98" i="1"/>
  <c r="K97" i="1"/>
  <c r="I97" i="1"/>
  <c r="J97" i="1" s="1"/>
  <c r="H97" i="1"/>
  <c r="G97" i="1"/>
  <c r="K96" i="1"/>
  <c r="I96" i="1"/>
  <c r="J96" i="1" s="1"/>
  <c r="H96" i="1"/>
  <c r="G96" i="1"/>
  <c r="K95" i="1"/>
  <c r="I95" i="1"/>
  <c r="J95" i="1" s="1"/>
  <c r="H95" i="1"/>
  <c r="G95" i="1"/>
  <c r="K94" i="1"/>
  <c r="I94" i="1"/>
  <c r="J94" i="1" s="1"/>
  <c r="H94" i="1"/>
  <c r="G94" i="1"/>
  <c r="K93" i="1"/>
  <c r="I93" i="1"/>
  <c r="J93" i="1" s="1"/>
  <c r="H93" i="1"/>
  <c r="G93" i="1"/>
  <c r="K92" i="1"/>
  <c r="I92" i="1"/>
  <c r="J92" i="1" s="1"/>
  <c r="H92" i="1"/>
  <c r="G92" i="1"/>
  <c r="K91" i="1"/>
  <c r="I91" i="1"/>
  <c r="J91" i="1" s="1"/>
  <c r="H91" i="1"/>
  <c r="G91" i="1"/>
  <c r="K90" i="1"/>
  <c r="J90" i="1"/>
  <c r="I90" i="1"/>
  <c r="H90" i="1"/>
  <c r="G90" i="1"/>
  <c r="K89" i="1"/>
  <c r="I89" i="1"/>
  <c r="J89" i="1" s="1"/>
  <c r="H89" i="1"/>
  <c r="G89" i="1"/>
  <c r="K88" i="1"/>
  <c r="I88" i="1"/>
  <c r="J88" i="1" s="1"/>
  <c r="H88" i="1"/>
  <c r="G88" i="1"/>
  <c r="K87" i="1"/>
  <c r="J87" i="1"/>
  <c r="I87" i="1"/>
  <c r="H87" i="1"/>
  <c r="G87" i="1"/>
  <c r="K86" i="1"/>
  <c r="I86" i="1"/>
  <c r="J86" i="1" s="1"/>
  <c r="H86" i="1"/>
  <c r="G86" i="1"/>
  <c r="K85" i="1"/>
  <c r="I85" i="1"/>
  <c r="J85" i="1" s="1"/>
  <c r="H85" i="1"/>
  <c r="G85" i="1"/>
  <c r="K84" i="1"/>
  <c r="I84" i="1"/>
  <c r="J84" i="1" s="1"/>
  <c r="H84" i="1"/>
  <c r="G84" i="1"/>
  <c r="K83" i="1"/>
  <c r="I83" i="1"/>
  <c r="J83" i="1" s="1"/>
  <c r="H83" i="1"/>
  <c r="G83" i="1"/>
  <c r="K82" i="1"/>
  <c r="I82" i="1"/>
  <c r="J82" i="1" s="1"/>
  <c r="H82" i="1"/>
  <c r="G82" i="1"/>
  <c r="K81" i="1"/>
  <c r="I81" i="1"/>
  <c r="J81" i="1" s="1"/>
  <c r="H81" i="1"/>
  <c r="G81" i="1"/>
  <c r="K80" i="1"/>
  <c r="I80" i="1"/>
  <c r="J80" i="1" s="1"/>
  <c r="H80" i="1"/>
  <c r="G80" i="1"/>
  <c r="K79" i="1"/>
  <c r="I79" i="1"/>
  <c r="J79" i="1" s="1"/>
  <c r="H79" i="1"/>
  <c r="G79" i="1"/>
  <c r="K78" i="1"/>
  <c r="I78" i="1"/>
  <c r="J78" i="1" s="1"/>
  <c r="H78" i="1"/>
  <c r="G78" i="1"/>
  <c r="K77" i="1"/>
  <c r="I77" i="1"/>
  <c r="J77" i="1" s="1"/>
  <c r="H77" i="1"/>
  <c r="G77" i="1"/>
  <c r="K76" i="1"/>
  <c r="I76" i="1"/>
  <c r="J76" i="1" s="1"/>
  <c r="H76" i="1"/>
  <c r="G76" i="1"/>
  <c r="K75" i="1"/>
  <c r="J75" i="1"/>
  <c r="I75" i="1"/>
  <c r="H75" i="1"/>
  <c r="G75" i="1"/>
  <c r="K74" i="1"/>
  <c r="I74" i="1"/>
  <c r="J74" i="1" s="1"/>
  <c r="H74" i="1"/>
  <c r="G74" i="1"/>
  <c r="K73" i="1"/>
  <c r="I73" i="1"/>
  <c r="J73" i="1" s="1"/>
  <c r="H73" i="1"/>
  <c r="G73" i="1"/>
  <c r="K72" i="1"/>
  <c r="I72" i="1"/>
  <c r="J72" i="1" s="1"/>
  <c r="H72" i="1"/>
  <c r="G72" i="1"/>
  <c r="K71" i="1"/>
  <c r="I71" i="1"/>
  <c r="J71" i="1" s="1"/>
  <c r="H71" i="1"/>
  <c r="G71" i="1"/>
  <c r="K70" i="1"/>
  <c r="I70" i="1"/>
  <c r="J70" i="1" s="1"/>
  <c r="H70" i="1"/>
  <c r="G70" i="1"/>
  <c r="K69" i="1"/>
  <c r="I69" i="1"/>
  <c r="J69" i="1" s="1"/>
  <c r="H69" i="1"/>
  <c r="G69" i="1"/>
  <c r="K68" i="1"/>
  <c r="I68" i="1"/>
  <c r="J68" i="1" s="1"/>
  <c r="H68" i="1"/>
  <c r="G68" i="1"/>
  <c r="K67" i="1"/>
  <c r="I67" i="1"/>
  <c r="J67" i="1" s="1"/>
  <c r="H67" i="1"/>
  <c r="G67" i="1"/>
  <c r="K66" i="1"/>
  <c r="I66" i="1"/>
  <c r="J66" i="1" s="1"/>
  <c r="H66" i="1"/>
  <c r="G66" i="1"/>
  <c r="K65" i="1"/>
  <c r="I65" i="1"/>
  <c r="J65" i="1" s="1"/>
  <c r="H65" i="1"/>
  <c r="G65" i="1"/>
  <c r="K64" i="1"/>
  <c r="I64" i="1"/>
  <c r="J64" i="1" s="1"/>
  <c r="H64" i="1"/>
  <c r="G64" i="1"/>
  <c r="K63" i="1"/>
  <c r="J63" i="1"/>
  <c r="I63" i="1"/>
  <c r="H63" i="1"/>
  <c r="G63" i="1"/>
  <c r="K62" i="1"/>
  <c r="I62" i="1"/>
  <c r="J62" i="1" s="1"/>
  <c r="H62" i="1"/>
  <c r="G62" i="1"/>
  <c r="K61" i="1"/>
  <c r="J61" i="1"/>
  <c r="I61" i="1"/>
  <c r="H61" i="1"/>
  <c r="G61" i="1"/>
  <c r="K60" i="1"/>
  <c r="I60" i="1"/>
  <c r="J60" i="1" s="1"/>
  <c r="H60" i="1"/>
  <c r="G60" i="1"/>
  <c r="K59" i="1"/>
  <c r="I59" i="1"/>
  <c r="J59" i="1" s="1"/>
  <c r="H59" i="1"/>
  <c r="G59" i="1"/>
  <c r="K58" i="1"/>
  <c r="I58" i="1"/>
  <c r="J58" i="1" s="1"/>
  <c r="H58" i="1"/>
  <c r="G58" i="1"/>
  <c r="K57" i="1"/>
  <c r="I57" i="1"/>
  <c r="J57" i="1" s="1"/>
  <c r="H57" i="1"/>
  <c r="G57" i="1"/>
  <c r="K56" i="1"/>
  <c r="I56" i="1"/>
  <c r="J56" i="1" s="1"/>
  <c r="H56" i="1"/>
  <c r="G56" i="1"/>
  <c r="K55" i="1"/>
  <c r="I55" i="1"/>
  <c r="J55" i="1" s="1"/>
  <c r="H55" i="1"/>
  <c r="G55" i="1"/>
  <c r="K54" i="1"/>
  <c r="I54" i="1"/>
  <c r="J54" i="1" s="1"/>
  <c r="H54" i="1"/>
  <c r="G54" i="1"/>
  <c r="K53" i="1"/>
  <c r="I53" i="1"/>
  <c r="J53" i="1" s="1"/>
  <c r="H53" i="1"/>
  <c r="G53" i="1"/>
  <c r="K52" i="1"/>
  <c r="I52" i="1"/>
  <c r="J52" i="1" s="1"/>
  <c r="H52" i="1"/>
  <c r="G52" i="1"/>
  <c r="K51" i="1"/>
  <c r="J51" i="1"/>
  <c r="I51" i="1"/>
  <c r="H51" i="1"/>
  <c r="G51" i="1"/>
  <c r="K50" i="1"/>
  <c r="I50" i="1"/>
  <c r="J50" i="1" s="1"/>
  <c r="H50" i="1"/>
  <c r="G50" i="1"/>
  <c r="K49" i="1"/>
  <c r="I49" i="1"/>
  <c r="J49" i="1" s="1"/>
  <c r="H49" i="1"/>
  <c r="G49" i="1"/>
  <c r="K48" i="1"/>
  <c r="I48" i="1"/>
  <c r="J48" i="1" s="1"/>
  <c r="H48" i="1"/>
  <c r="G48" i="1"/>
  <c r="K47" i="1"/>
  <c r="I47" i="1"/>
  <c r="J47" i="1" s="1"/>
  <c r="H47" i="1"/>
  <c r="G47" i="1"/>
  <c r="K46" i="1"/>
  <c r="I46" i="1"/>
  <c r="J46" i="1" s="1"/>
  <c r="H46" i="1"/>
  <c r="G46" i="1"/>
  <c r="K45" i="1"/>
  <c r="I45" i="1"/>
  <c r="J45" i="1" s="1"/>
  <c r="H45" i="1"/>
  <c r="G45" i="1"/>
  <c r="K44" i="1"/>
  <c r="I44" i="1"/>
  <c r="J44" i="1" s="1"/>
  <c r="H44" i="1"/>
  <c r="G44" i="1"/>
  <c r="K43" i="1"/>
  <c r="I43" i="1"/>
  <c r="J43" i="1" s="1"/>
  <c r="H43" i="1"/>
  <c r="G43" i="1"/>
  <c r="K42" i="1"/>
  <c r="I42" i="1"/>
  <c r="J42" i="1" s="1"/>
  <c r="H42" i="1"/>
  <c r="G42" i="1"/>
  <c r="K41" i="1"/>
  <c r="I41" i="1"/>
  <c r="J41" i="1" s="1"/>
  <c r="H41" i="1"/>
  <c r="G41" i="1"/>
  <c r="K40" i="1"/>
  <c r="J40" i="1"/>
  <c r="I40" i="1"/>
  <c r="H40" i="1"/>
  <c r="G40" i="1"/>
  <c r="K39" i="1"/>
  <c r="J39" i="1"/>
  <c r="I39" i="1"/>
  <c r="H39" i="1"/>
  <c r="G39" i="1"/>
  <c r="K38" i="1"/>
  <c r="I38" i="1"/>
  <c r="J38" i="1" s="1"/>
  <c r="H38" i="1"/>
  <c r="G38" i="1"/>
  <c r="K37" i="1"/>
  <c r="I37" i="1"/>
  <c r="J37" i="1" s="1"/>
  <c r="H37" i="1"/>
  <c r="G37" i="1"/>
  <c r="K36" i="1"/>
  <c r="I36" i="1"/>
  <c r="J36" i="1" s="1"/>
  <c r="H36" i="1"/>
  <c r="G36" i="1"/>
  <c r="K35" i="1"/>
  <c r="I35" i="1"/>
  <c r="J35" i="1" s="1"/>
  <c r="H35" i="1"/>
  <c r="G35" i="1"/>
  <c r="K34" i="1"/>
  <c r="I34" i="1"/>
  <c r="J34" i="1" s="1"/>
  <c r="H34" i="1"/>
  <c r="G34" i="1"/>
  <c r="K33" i="1"/>
  <c r="I33" i="1"/>
  <c r="J33" i="1" s="1"/>
  <c r="H33" i="1"/>
  <c r="G33" i="1"/>
  <c r="K32" i="1"/>
  <c r="I32" i="1"/>
  <c r="J32" i="1" s="1"/>
  <c r="H32" i="1"/>
  <c r="G32" i="1"/>
  <c r="K31" i="1"/>
  <c r="I31" i="1"/>
  <c r="J31" i="1" s="1"/>
  <c r="H31" i="1"/>
  <c r="G31" i="1"/>
  <c r="K30" i="1"/>
  <c r="I30" i="1"/>
  <c r="J30" i="1" s="1"/>
  <c r="H30" i="1"/>
  <c r="G30" i="1"/>
  <c r="K29" i="1"/>
  <c r="I29" i="1"/>
  <c r="J29" i="1" s="1"/>
  <c r="H29" i="1"/>
  <c r="G29" i="1"/>
  <c r="K28" i="1"/>
  <c r="I28" i="1"/>
  <c r="J28" i="1" s="1"/>
  <c r="H28" i="1"/>
  <c r="G28" i="1"/>
  <c r="K27" i="1"/>
  <c r="J27" i="1"/>
  <c r="I27" i="1"/>
  <c r="H27" i="1"/>
  <c r="G27" i="1"/>
  <c r="K26" i="1"/>
  <c r="I26" i="1"/>
  <c r="J26" i="1" s="1"/>
  <c r="H26" i="1"/>
  <c r="G26" i="1"/>
  <c r="K25" i="1"/>
  <c r="I25" i="1"/>
  <c r="J25" i="1" s="1"/>
  <c r="H25" i="1"/>
  <c r="G25" i="1"/>
  <c r="K24" i="1"/>
  <c r="I24" i="1"/>
  <c r="J24" i="1" s="1"/>
  <c r="H24" i="1"/>
  <c r="G24" i="1"/>
  <c r="K23" i="1"/>
  <c r="I23" i="1"/>
  <c r="J23" i="1" s="1"/>
  <c r="H23" i="1"/>
  <c r="G23" i="1"/>
  <c r="K22" i="1"/>
  <c r="I22" i="1"/>
  <c r="J22" i="1" s="1"/>
  <c r="H22" i="1"/>
  <c r="G22" i="1"/>
  <c r="K21" i="1"/>
  <c r="I21" i="1"/>
  <c r="J21" i="1" s="1"/>
  <c r="H21" i="1"/>
  <c r="G21" i="1"/>
  <c r="K20" i="1"/>
  <c r="I20" i="1"/>
  <c r="J20" i="1" s="1"/>
  <c r="H20" i="1"/>
  <c r="G20" i="1"/>
  <c r="K19" i="1"/>
  <c r="I19" i="1"/>
  <c r="J19" i="1" s="1"/>
  <c r="H19" i="1"/>
  <c r="G19" i="1"/>
  <c r="K18" i="1"/>
  <c r="I18" i="1"/>
  <c r="J18" i="1" s="1"/>
  <c r="H18" i="1"/>
  <c r="G18" i="1"/>
  <c r="K17" i="1"/>
  <c r="I17" i="1"/>
  <c r="J17" i="1" s="1"/>
  <c r="H17" i="1"/>
  <c r="G17" i="1"/>
  <c r="K16" i="1"/>
  <c r="I16" i="1"/>
  <c r="J16" i="1" s="1"/>
  <c r="H16" i="1"/>
  <c r="G16" i="1"/>
  <c r="K15" i="1"/>
  <c r="J15" i="1"/>
  <c r="I15" i="1"/>
  <c r="H15" i="1"/>
  <c r="G15" i="1"/>
  <c r="K14" i="1"/>
  <c r="I14" i="1"/>
  <c r="J14" i="1" s="1"/>
  <c r="H14" i="1"/>
  <c r="G14" i="1"/>
  <c r="K13" i="1"/>
  <c r="I13" i="1"/>
  <c r="J13" i="1" s="1"/>
  <c r="H13" i="1"/>
  <c r="G13" i="1"/>
  <c r="K12" i="1"/>
  <c r="I12" i="1"/>
  <c r="J12" i="1" s="1"/>
  <c r="H12" i="1"/>
  <c r="G12" i="1"/>
  <c r="K11" i="1"/>
  <c r="I11" i="1"/>
  <c r="J11" i="1" s="1"/>
  <c r="H11" i="1"/>
  <c r="G11" i="1"/>
  <c r="K10" i="1"/>
  <c r="I10" i="1"/>
  <c r="J10" i="1" s="1"/>
  <c r="H10" i="1"/>
  <c r="G10" i="1"/>
  <c r="K9" i="1"/>
  <c r="I9" i="1"/>
  <c r="J9" i="1" s="1"/>
  <c r="H9" i="1"/>
  <c r="G9" i="1"/>
  <c r="K8" i="1"/>
  <c r="I8" i="1"/>
  <c r="J8" i="1" s="1"/>
  <c r="H8" i="1"/>
  <c r="G8" i="1"/>
  <c r="K7" i="1"/>
  <c r="I7" i="1"/>
  <c r="J7" i="1" s="1"/>
  <c r="H7" i="1"/>
  <c r="G7" i="1"/>
  <c r="K6" i="1"/>
  <c r="J6" i="1"/>
  <c r="I6" i="1"/>
  <c r="H6" i="1"/>
  <c r="G6" i="1"/>
  <c r="K5" i="1"/>
  <c r="I5" i="1"/>
  <c r="J5" i="1" s="1"/>
  <c r="H5" i="1"/>
  <c r="G5" i="1"/>
  <c r="K4" i="1"/>
  <c r="I4" i="1"/>
  <c r="J4" i="1" s="1"/>
  <c r="H4" i="1"/>
  <c r="G4" i="1"/>
  <c r="K3" i="1"/>
  <c r="J3" i="1"/>
  <c r="I3" i="1"/>
  <c r="H3" i="1"/>
  <c r="G3" i="1"/>
  <c r="K2" i="1"/>
  <c r="I2" i="1"/>
  <c r="J2" i="1" s="1"/>
  <c r="H2" i="1"/>
  <c r="G2" i="1"/>
</calcChain>
</file>

<file path=xl/sharedStrings.xml><?xml version="1.0" encoding="utf-8"?>
<sst xmlns="http://schemas.openxmlformats.org/spreadsheetml/2006/main" count="26" uniqueCount="20">
  <si>
    <t>Student_ID</t>
  </si>
  <si>
    <t>Age</t>
  </si>
  <si>
    <t>Study_Hours</t>
  </si>
  <si>
    <t>Screen_Time</t>
  </si>
  <si>
    <t>Test_Scores</t>
  </si>
  <si>
    <t>Extra_Curricular_Hours</t>
  </si>
  <si>
    <t>Study Level</t>
  </si>
  <si>
    <t>Performance</t>
  </si>
  <si>
    <t>Study_Efficiency</t>
  </si>
  <si>
    <t>Efficiency Level</t>
  </si>
  <si>
    <t>Age_group</t>
  </si>
  <si>
    <t>Row Labels</t>
  </si>
  <si>
    <t>Average of Screen_Time</t>
  </si>
  <si>
    <t>High screen Time</t>
  </si>
  <si>
    <t>Normal</t>
  </si>
  <si>
    <t>Grand Total</t>
  </si>
  <si>
    <t>Average of Extra_Curricular_Hours</t>
  </si>
  <si>
    <t>Average of Test_Scores</t>
  </si>
  <si>
    <t>senior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</si>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</sst>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7" tint="0.59999389629810485"/>
        </stop>
      </gradientFill>
    </fill>
    <fill>
      <patternFill patternType="solid">
        <fgColor theme="7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2" borderId="1" xfId="0" applyFill="1" applyBorder="1"/>
    <xf numFmtId="0" fontId="0" fillId="2" borderId="0" xfId="0" applyFill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2"/>
              <c:pt idx="0">
                <c:v>High screen Time</c:v>
              </c:pt>
              <c:pt idx="1">
                <c:v>Normal</c:v>
              </c:pt>
            </c:strLit>
          </c:cat>
          <c:val>
            <c:numLit>
              <c:formatCode>General</c:formatCode>
              <c:ptCount val="2"/>
              <c:pt idx="0">
                <c:v>4.4933333333333341</c:v>
              </c:pt>
              <c:pt idx="1">
                <c:v>3.9808383233532938</c:v>
              </c:pt>
            </c:numLit>
          </c:val>
          <c:extLst>
            <c:ext xmlns:c16="http://schemas.microsoft.com/office/drawing/2014/chart" uri="{C3380CC4-5D6E-409C-BE32-E72D297353CC}">
              <c16:uniqueId val="{00000000-9F32-428C-B31F-50A2E7871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289344447"/>
        <c:axId val="1289347327"/>
      </c:barChart>
      <c:catAx>
        <c:axId val="128934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47327"/>
        <c:crosses val="autoZero"/>
        <c:auto val="1"/>
        <c:lblAlgn val="ctr"/>
        <c:lblOffset val="100"/>
        <c:noMultiLvlLbl val="0"/>
      </c:catAx>
      <c:valAx>
        <c:axId val="1289347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4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strRef>
              <c:f>'[1]day 2 student_screen_time_raw'!$D$1</c:f>
              <c:strCache>
                <c:ptCount val="1"/>
                <c:pt idx="0">
                  <c:v>Screen_Time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1">
                  <a:alpha val="75000"/>
                </a:schemeClr>
              </a:solidFill>
            </a:ln>
            <a:effectLst>
              <a:innerShdw blurRad="114300">
                <a:schemeClr val="accent1">
                  <a:alpha val="70000"/>
                </a:schemeClr>
              </a:innerShdw>
            </a:effectLst>
          </c:spPr>
          <c:invertIfNegative val="0"/>
          <c:yVal>
            <c:numRef>
              <c:f>'[1]day 2 student_screen_time_raw'!$D$2:$D$183</c:f>
              <c:numCache>
                <c:formatCode>General</c:formatCode>
                <c:ptCount val="182"/>
                <c:pt idx="0">
                  <c:v>2.7</c:v>
                </c:pt>
                <c:pt idx="1">
                  <c:v>4</c:v>
                </c:pt>
                <c:pt idx="2">
                  <c:v>4.3</c:v>
                </c:pt>
                <c:pt idx="3">
                  <c:v>2.8</c:v>
                </c:pt>
                <c:pt idx="4">
                  <c:v>4.4000000000000004</c:v>
                </c:pt>
                <c:pt idx="5">
                  <c:v>6.7</c:v>
                </c:pt>
                <c:pt idx="6">
                  <c:v>4.5999999999999996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3.6</c:v>
                </c:pt>
                <c:pt idx="10">
                  <c:v>5.8</c:v>
                </c:pt>
                <c:pt idx="11">
                  <c:v>2</c:v>
                </c:pt>
                <c:pt idx="12">
                  <c:v>1.6</c:v>
                </c:pt>
                <c:pt idx="13">
                  <c:v>4.0999999999999996</c:v>
                </c:pt>
                <c:pt idx="14">
                  <c:v>5.6</c:v>
                </c:pt>
                <c:pt idx="15">
                  <c:v>4.4000000000000004</c:v>
                </c:pt>
                <c:pt idx="16">
                  <c:v>4.7</c:v>
                </c:pt>
                <c:pt idx="17">
                  <c:v>4.3</c:v>
                </c:pt>
                <c:pt idx="18">
                  <c:v>5.2</c:v>
                </c:pt>
                <c:pt idx="19">
                  <c:v>6</c:v>
                </c:pt>
                <c:pt idx="20">
                  <c:v>2.6</c:v>
                </c:pt>
                <c:pt idx="21">
                  <c:v>0.5</c:v>
                </c:pt>
                <c:pt idx="22">
                  <c:v>3.5</c:v>
                </c:pt>
                <c:pt idx="23">
                  <c:v>2.5</c:v>
                </c:pt>
                <c:pt idx="24">
                  <c:v>5.2</c:v>
                </c:pt>
                <c:pt idx="25">
                  <c:v>2.9</c:v>
                </c:pt>
                <c:pt idx="26">
                  <c:v>1.2</c:v>
                </c:pt>
                <c:pt idx="27">
                  <c:v>3.1</c:v>
                </c:pt>
                <c:pt idx="28">
                  <c:v>1.8</c:v>
                </c:pt>
                <c:pt idx="29">
                  <c:v>6.4</c:v>
                </c:pt>
                <c:pt idx="30">
                  <c:v>4.7</c:v>
                </c:pt>
                <c:pt idx="31">
                  <c:v>5</c:v>
                </c:pt>
                <c:pt idx="32">
                  <c:v>4.8</c:v>
                </c:pt>
                <c:pt idx="33">
                  <c:v>5.3</c:v>
                </c:pt>
                <c:pt idx="34">
                  <c:v>3.2</c:v>
                </c:pt>
                <c:pt idx="35">
                  <c:v>2.7</c:v>
                </c:pt>
                <c:pt idx="36">
                  <c:v>0.2</c:v>
                </c:pt>
                <c:pt idx="37">
                  <c:v>5.7</c:v>
                </c:pt>
                <c:pt idx="38">
                  <c:v>1.2</c:v>
                </c:pt>
                <c:pt idx="39">
                  <c:v>4.9000000000000004</c:v>
                </c:pt>
                <c:pt idx="40">
                  <c:v>3.7</c:v>
                </c:pt>
                <c:pt idx="41">
                  <c:v>4.4000000000000004</c:v>
                </c:pt>
                <c:pt idx="42">
                  <c:v>3.3</c:v>
                </c:pt>
                <c:pt idx="43">
                  <c:v>4.3</c:v>
                </c:pt>
                <c:pt idx="44">
                  <c:v>3.3</c:v>
                </c:pt>
                <c:pt idx="45">
                  <c:v>3.2</c:v>
                </c:pt>
                <c:pt idx="46">
                  <c:v>2.7</c:v>
                </c:pt>
                <c:pt idx="47">
                  <c:v>4.5999999999999996</c:v>
                </c:pt>
                <c:pt idx="48">
                  <c:v>4.3</c:v>
                </c:pt>
                <c:pt idx="49">
                  <c:v>2.7</c:v>
                </c:pt>
                <c:pt idx="50">
                  <c:v>2.5</c:v>
                </c:pt>
                <c:pt idx="51">
                  <c:v>3.3</c:v>
                </c:pt>
                <c:pt idx="52">
                  <c:v>2.2000000000000002</c:v>
                </c:pt>
                <c:pt idx="53">
                  <c:v>6.4</c:v>
                </c:pt>
                <c:pt idx="54">
                  <c:v>2</c:v>
                </c:pt>
                <c:pt idx="55">
                  <c:v>2.8</c:v>
                </c:pt>
                <c:pt idx="56">
                  <c:v>3.3</c:v>
                </c:pt>
                <c:pt idx="57">
                  <c:v>3.9</c:v>
                </c:pt>
                <c:pt idx="58">
                  <c:v>3</c:v>
                </c:pt>
                <c:pt idx="59">
                  <c:v>1.6</c:v>
                </c:pt>
                <c:pt idx="60">
                  <c:v>1.7</c:v>
                </c:pt>
                <c:pt idx="61">
                  <c:v>5</c:v>
                </c:pt>
                <c:pt idx="62">
                  <c:v>3.8</c:v>
                </c:pt>
                <c:pt idx="63">
                  <c:v>5</c:v>
                </c:pt>
                <c:pt idx="64">
                  <c:v>5.2</c:v>
                </c:pt>
                <c:pt idx="65">
                  <c:v>4.2</c:v>
                </c:pt>
                <c:pt idx="66">
                  <c:v>2.2000000000000002</c:v>
                </c:pt>
                <c:pt idx="67">
                  <c:v>4.3</c:v>
                </c:pt>
                <c:pt idx="68">
                  <c:v>6.1</c:v>
                </c:pt>
                <c:pt idx="69">
                  <c:v>3.3</c:v>
                </c:pt>
                <c:pt idx="70">
                  <c:v>4.5</c:v>
                </c:pt>
                <c:pt idx="71">
                  <c:v>4</c:v>
                </c:pt>
                <c:pt idx="72">
                  <c:v>6.1</c:v>
                </c:pt>
                <c:pt idx="73">
                  <c:v>3</c:v>
                </c:pt>
                <c:pt idx="74">
                  <c:v>5.7</c:v>
                </c:pt>
                <c:pt idx="75">
                  <c:v>3.4</c:v>
                </c:pt>
                <c:pt idx="76">
                  <c:v>3</c:v>
                </c:pt>
                <c:pt idx="77">
                  <c:v>4.2</c:v>
                </c:pt>
                <c:pt idx="78">
                  <c:v>4.5</c:v>
                </c:pt>
                <c:pt idx="79">
                  <c:v>4.5</c:v>
                </c:pt>
                <c:pt idx="80">
                  <c:v>4.3</c:v>
                </c:pt>
                <c:pt idx="81">
                  <c:v>6.4</c:v>
                </c:pt>
                <c:pt idx="82">
                  <c:v>4.9000000000000004</c:v>
                </c:pt>
                <c:pt idx="83">
                  <c:v>3</c:v>
                </c:pt>
                <c:pt idx="84">
                  <c:v>6</c:v>
                </c:pt>
                <c:pt idx="85">
                  <c:v>2.9</c:v>
                </c:pt>
                <c:pt idx="86">
                  <c:v>3</c:v>
                </c:pt>
                <c:pt idx="87">
                  <c:v>2.7</c:v>
                </c:pt>
                <c:pt idx="88">
                  <c:v>2.6</c:v>
                </c:pt>
                <c:pt idx="89">
                  <c:v>4.5</c:v>
                </c:pt>
                <c:pt idx="90">
                  <c:v>3.6</c:v>
                </c:pt>
                <c:pt idx="91">
                  <c:v>0</c:v>
                </c:pt>
                <c:pt idx="92">
                  <c:v>3.2</c:v>
                </c:pt>
                <c:pt idx="93">
                  <c:v>5.3</c:v>
                </c:pt>
                <c:pt idx="94">
                  <c:v>3.2</c:v>
                </c:pt>
                <c:pt idx="95">
                  <c:v>7.8</c:v>
                </c:pt>
                <c:pt idx="96">
                  <c:v>6.1</c:v>
                </c:pt>
                <c:pt idx="97">
                  <c:v>3.4</c:v>
                </c:pt>
                <c:pt idx="98">
                  <c:v>5.7</c:v>
                </c:pt>
                <c:pt idx="99">
                  <c:v>4.4000000000000004</c:v>
                </c:pt>
                <c:pt idx="100">
                  <c:v>5.2</c:v>
                </c:pt>
                <c:pt idx="101">
                  <c:v>4.0999999999999996</c:v>
                </c:pt>
                <c:pt idx="102">
                  <c:v>4.4000000000000004</c:v>
                </c:pt>
                <c:pt idx="103">
                  <c:v>5.2</c:v>
                </c:pt>
                <c:pt idx="104">
                  <c:v>7.1</c:v>
                </c:pt>
                <c:pt idx="105">
                  <c:v>4.4000000000000004</c:v>
                </c:pt>
                <c:pt idx="106">
                  <c:v>3.3</c:v>
                </c:pt>
                <c:pt idx="107">
                  <c:v>1</c:v>
                </c:pt>
                <c:pt idx="108">
                  <c:v>6.9</c:v>
                </c:pt>
                <c:pt idx="109">
                  <c:v>3.6</c:v>
                </c:pt>
                <c:pt idx="110">
                  <c:v>4.8</c:v>
                </c:pt>
                <c:pt idx="111">
                  <c:v>6.9</c:v>
                </c:pt>
                <c:pt idx="112">
                  <c:v>4.3</c:v>
                </c:pt>
                <c:pt idx="113">
                  <c:v>3.7</c:v>
                </c:pt>
                <c:pt idx="114">
                  <c:v>6.1</c:v>
                </c:pt>
                <c:pt idx="115">
                  <c:v>4.7</c:v>
                </c:pt>
                <c:pt idx="116">
                  <c:v>4.9000000000000004</c:v>
                </c:pt>
                <c:pt idx="117">
                  <c:v>1.7</c:v>
                </c:pt>
                <c:pt idx="118">
                  <c:v>5.8</c:v>
                </c:pt>
                <c:pt idx="119">
                  <c:v>4.5999999999999996</c:v>
                </c:pt>
                <c:pt idx="120">
                  <c:v>1.9</c:v>
                </c:pt>
                <c:pt idx="121">
                  <c:v>0.9</c:v>
                </c:pt>
                <c:pt idx="122">
                  <c:v>7.5</c:v>
                </c:pt>
                <c:pt idx="123">
                  <c:v>6.4</c:v>
                </c:pt>
                <c:pt idx="124">
                  <c:v>2.8</c:v>
                </c:pt>
                <c:pt idx="125">
                  <c:v>4.8</c:v>
                </c:pt>
                <c:pt idx="126">
                  <c:v>2.6</c:v>
                </c:pt>
                <c:pt idx="127">
                  <c:v>5.5</c:v>
                </c:pt>
                <c:pt idx="128">
                  <c:v>3.6</c:v>
                </c:pt>
                <c:pt idx="129">
                  <c:v>4.7</c:v>
                </c:pt>
                <c:pt idx="130">
                  <c:v>4</c:v>
                </c:pt>
                <c:pt idx="131">
                  <c:v>2</c:v>
                </c:pt>
                <c:pt idx="132">
                  <c:v>4.8</c:v>
                </c:pt>
                <c:pt idx="133">
                  <c:v>3.2</c:v>
                </c:pt>
                <c:pt idx="134">
                  <c:v>5.6</c:v>
                </c:pt>
                <c:pt idx="135">
                  <c:v>3.6</c:v>
                </c:pt>
                <c:pt idx="136">
                  <c:v>3.9</c:v>
                </c:pt>
                <c:pt idx="137">
                  <c:v>6.5</c:v>
                </c:pt>
                <c:pt idx="138">
                  <c:v>7.6</c:v>
                </c:pt>
                <c:pt idx="139">
                  <c:v>5.2</c:v>
                </c:pt>
                <c:pt idx="140">
                  <c:v>3.6</c:v>
                </c:pt>
                <c:pt idx="141">
                  <c:v>3.4</c:v>
                </c:pt>
                <c:pt idx="142">
                  <c:v>2.8</c:v>
                </c:pt>
                <c:pt idx="143">
                  <c:v>3.1</c:v>
                </c:pt>
                <c:pt idx="144">
                  <c:v>3.6</c:v>
                </c:pt>
                <c:pt idx="145">
                  <c:v>6.9</c:v>
                </c:pt>
                <c:pt idx="146">
                  <c:v>3.7</c:v>
                </c:pt>
                <c:pt idx="147">
                  <c:v>2.2000000000000002</c:v>
                </c:pt>
                <c:pt idx="148">
                  <c:v>4.0999999999999996</c:v>
                </c:pt>
                <c:pt idx="149">
                  <c:v>4.3</c:v>
                </c:pt>
                <c:pt idx="150">
                  <c:v>4.0999999999999996</c:v>
                </c:pt>
                <c:pt idx="151">
                  <c:v>5.2</c:v>
                </c:pt>
                <c:pt idx="152">
                  <c:v>4.0999999999999996</c:v>
                </c:pt>
                <c:pt idx="153">
                  <c:v>5.2</c:v>
                </c:pt>
                <c:pt idx="154">
                  <c:v>2.8</c:v>
                </c:pt>
                <c:pt idx="155">
                  <c:v>4.4000000000000004</c:v>
                </c:pt>
                <c:pt idx="156">
                  <c:v>2.8</c:v>
                </c:pt>
                <c:pt idx="157">
                  <c:v>4.7</c:v>
                </c:pt>
                <c:pt idx="158">
                  <c:v>5</c:v>
                </c:pt>
                <c:pt idx="159">
                  <c:v>2.2000000000000002</c:v>
                </c:pt>
                <c:pt idx="160">
                  <c:v>1.5</c:v>
                </c:pt>
                <c:pt idx="161">
                  <c:v>4.4000000000000004</c:v>
                </c:pt>
                <c:pt idx="162">
                  <c:v>3.3</c:v>
                </c:pt>
                <c:pt idx="163">
                  <c:v>4.4000000000000004</c:v>
                </c:pt>
                <c:pt idx="164">
                  <c:v>2.1</c:v>
                </c:pt>
                <c:pt idx="165">
                  <c:v>1.7</c:v>
                </c:pt>
                <c:pt idx="166">
                  <c:v>4.3</c:v>
                </c:pt>
                <c:pt idx="167">
                  <c:v>3.5</c:v>
                </c:pt>
                <c:pt idx="168">
                  <c:v>6</c:v>
                </c:pt>
                <c:pt idx="169">
                  <c:v>2</c:v>
                </c:pt>
                <c:pt idx="170">
                  <c:v>7.9</c:v>
                </c:pt>
                <c:pt idx="171">
                  <c:v>3.1</c:v>
                </c:pt>
                <c:pt idx="172">
                  <c:v>4.5999999999999996</c:v>
                </c:pt>
                <c:pt idx="173">
                  <c:v>6.5</c:v>
                </c:pt>
                <c:pt idx="174">
                  <c:v>6.2</c:v>
                </c:pt>
                <c:pt idx="175">
                  <c:v>7</c:v>
                </c:pt>
                <c:pt idx="176">
                  <c:v>1.7</c:v>
                </c:pt>
                <c:pt idx="177">
                  <c:v>2.2999999999999998</c:v>
                </c:pt>
                <c:pt idx="178">
                  <c:v>4.3</c:v>
                </c:pt>
                <c:pt idx="179">
                  <c:v>5.3</c:v>
                </c:pt>
                <c:pt idx="180">
                  <c:v>4</c:v>
                </c:pt>
                <c:pt idx="181">
                  <c:v>1.5</c:v>
                </c:pt>
              </c:numCache>
            </c:numRef>
          </c:yVal>
          <c:bubbleSize>
            <c:numLit>
              <c:formatCode>General</c:formatCode>
              <c:ptCount val="18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1</c:v>
              </c:pt>
              <c:pt idx="71">
                <c:v>1</c:v>
              </c:pt>
              <c:pt idx="72">
                <c:v>1</c:v>
              </c:pt>
              <c:pt idx="73">
                <c:v>1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1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1</c:v>
              </c:pt>
              <c:pt idx="84">
                <c:v>1</c:v>
              </c:pt>
              <c:pt idx="85">
                <c:v>1</c:v>
              </c:pt>
              <c:pt idx="86">
                <c:v>1</c:v>
              </c:pt>
              <c:pt idx="87">
                <c:v>1</c:v>
              </c:pt>
              <c:pt idx="88">
                <c:v>1</c:v>
              </c:pt>
              <c:pt idx="89">
                <c:v>1</c:v>
              </c:pt>
              <c:pt idx="90">
                <c:v>1</c:v>
              </c:pt>
              <c:pt idx="91">
                <c:v>1</c:v>
              </c:pt>
              <c:pt idx="92">
                <c:v>1</c:v>
              </c:pt>
              <c:pt idx="93">
                <c:v>1</c:v>
              </c:pt>
              <c:pt idx="94">
                <c:v>1</c:v>
              </c:pt>
              <c:pt idx="95">
                <c:v>1</c:v>
              </c:pt>
              <c:pt idx="96">
                <c:v>1</c:v>
              </c:pt>
              <c:pt idx="97">
                <c:v>1</c:v>
              </c:pt>
              <c:pt idx="98">
                <c:v>1</c:v>
              </c:pt>
              <c:pt idx="99">
                <c:v>1</c:v>
              </c:pt>
              <c:pt idx="100">
                <c:v>1</c:v>
              </c:pt>
              <c:pt idx="101">
                <c:v>1</c:v>
              </c:pt>
              <c:pt idx="102">
                <c:v>1</c:v>
              </c:pt>
              <c:pt idx="103">
                <c:v>1</c:v>
              </c:pt>
              <c:pt idx="104">
                <c:v>1</c:v>
              </c:pt>
              <c:pt idx="105">
                <c:v>1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1</c:v>
              </c:pt>
              <c:pt idx="110">
                <c:v>1</c:v>
              </c:pt>
              <c:pt idx="111">
                <c:v>1</c:v>
              </c:pt>
              <c:pt idx="112">
                <c:v>1</c:v>
              </c:pt>
              <c:pt idx="113">
                <c:v>1</c:v>
              </c:pt>
              <c:pt idx="114">
                <c:v>1</c:v>
              </c:pt>
              <c:pt idx="115">
                <c:v>1</c:v>
              </c:pt>
              <c:pt idx="116">
                <c:v>1</c:v>
              </c:pt>
              <c:pt idx="117">
                <c:v>1</c:v>
              </c:pt>
              <c:pt idx="118">
                <c:v>1</c:v>
              </c:pt>
              <c:pt idx="119">
                <c:v>1</c:v>
              </c:pt>
              <c:pt idx="120">
                <c:v>1</c:v>
              </c:pt>
              <c:pt idx="121">
                <c:v>1</c:v>
              </c:pt>
              <c:pt idx="122">
                <c:v>1</c:v>
              </c:pt>
              <c:pt idx="123">
                <c:v>1</c:v>
              </c:pt>
              <c:pt idx="124">
                <c:v>1</c:v>
              </c:pt>
              <c:pt idx="125">
                <c:v>1</c:v>
              </c:pt>
              <c:pt idx="126">
                <c:v>1</c:v>
              </c:pt>
              <c:pt idx="127">
                <c:v>1</c:v>
              </c:pt>
              <c:pt idx="128">
                <c:v>1</c:v>
              </c:pt>
              <c:pt idx="129">
                <c:v>1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1</c:v>
              </c:pt>
              <c:pt idx="136">
                <c:v>1</c:v>
              </c:pt>
              <c:pt idx="137">
                <c:v>1</c:v>
              </c:pt>
              <c:pt idx="138">
                <c:v>1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1</c:v>
              </c:pt>
              <c:pt idx="143">
                <c:v>1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1</c:v>
              </c:pt>
              <c:pt idx="149">
                <c:v>1</c:v>
              </c:pt>
              <c:pt idx="150">
                <c:v>1</c:v>
              </c:pt>
              <c:pt idx="151">
                <c:v>1</c:v>
              </c:pt>
              <c:pt idx="152">
                <c:v>1</c:v>
              </c:pt>
              <c:pt idx="153">
                <c:v>1</c:v>
              </c:pt>
              <c:pt idx="154">
                <c:v>1</c:v>
              </c:pt>
              <c:pt idx="155">
                <c:v>1</c:v>
              </c:pt>
              <c:pt idx="156">
                <c:v>1</c:v>
              </c:pt>
              <c:pt idx="157">
                <c:v>1</c:v>
              </c:pt>
              <c:pt idx="158">
                <c:v>1</c:v>
              </c:pt>
              <c:pt idx="159">
                <c:v>1</c:v>
              </c:pt>
              <c:pt idx="160">
                <c:v>1</c:v>
              </c:pt>
              <c:pt idx="161">
                <c:v>1</c:v>
              </c:pt>
              <c:pt idx="162">
                <c:v>1</c:v>
              </c:pt>
              <c:pt idx="163">
                <c:v>1</c:v>
              </c:pt>
              <c:pt idx="164">
                <c:v>1</c:v>
              </c:pt>
              <c:pt idx="165">
                <c:v>1</c:v>
              </c:pt>
              <c:pt idx="166">
                <c:v>1</c:v>
              </c:pt>
              <c:pt idx="167">
                <c:v>1</c:v>
              </c:pt>
              <c:pt idx="168">
                <c:v>1</c:v>
              </c:pt>
              <c:pt idx="169">
                <c:v>1</c:v>
              </c:pt>
              <c:pt idx="170">
                <c:v>1</c:v>
              </c:pt>
              <c:pt idx="171">
                <c:v>1</c:v>
              </c:pt>
              <c:pt idx="172">
                <c:v>1</c:v>
              </c:pt>
              <c:pt idx="173">
                <c:v>1</c:v>
              </c:pt>
              <c:pt idx="174">
                <c:v>1</c:v>
              </c:pt>
              <c:pt idx="175">
                <c:v>1</c:v>
              </c:pt>
              <c:pt idx="176">
                <c:v>1</c:v>
              </c:pt>
              <c:pt idx="177">
                <c:v>1</c:v>
              </c:pt>
              <c:pt idx="178">
                <c:v>1</c:v>
              </c:pt>
              <c:pt idx="179">
                <c:v>1</c:v>
              </c:pt>
              <c:pt idx="180">
                <c:v>1</c:v>
              </c:pt>
              <c:pt idx="181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F0CF-4557-9CE3-00E6D4BDC02A}"/>
            </c:ext>
          </c:extLst>
        </c:ser>
        <c:ser>
          <c:idx val="1"/>
          <c:order val="1"/>
          <c:spPr>
            <a:pattFill prst="ltUp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2">
                  <a:alpha val="75000"/>
                </a:schemeClr>
              </a:solidFill>
            </a:ln>
            <a:effectLst>
              <a:innerShdw blurRad="114300">
                <a:schemeClr val="accent2">
                  <a:alpha val="70000"/>
                </a:schemeClr>
              </a:innerShdw>
            </a:effectLst>
          </c:spPr>
          <c:invertIfNegative val="0"/>
          <c:xVal>
            <c:strRef>
              <c:f>'[1]day 2 student_screen_time_raw'!$E:$E</c:f>
              <c:strCache>
                <c:ptCount val="1048576"/>
                <c:pt idx="0">
                  <c:v>Test_Scores</c:v>
                </c:pt>
                <c:pt idx="1">
                  <c:v>75</c:v>
                </c:pt>
                <c:pt idx="2">
                  <c:v>68.1</c:v>
                </c:pt>
                <c:pt idx="3">
                  <c:v>67.9</c:v>
                </c:pt>
                <c:pt idx="4">
                  <c:v>47.2</c:v>
                </c:pt>
                <c:pt idx="5">
                  <c:v>71.5</c:v>
                </c:pt>
                <c:pt idx="6">
                  <c:v>88</c:v>
                </c:pt>
                <c:pt idx="7">
                  <c:v>69.3</c:v>
                </c:pt>
                <c:pt idx="8">
                  <c:v>75.7</c:v>
                </c:pt>
                <c:pt idx="9">
                  <c:v>78.3</c:v>
                </c:pt>
                <c:pt idx="10">
                  <c:v>52.5</c:v>
                </c:pt>
                <c:pt idx="11">
                  <c:v>96.2</c:v>
                </c:pt>
                <c:pt idx="12">
                  <c:v>74.9</c:v>
                </c:pt>
                <c:pt idx="13">
                  <c:v>76.4</c:v>
                </c:pt>
                <c:pt idx="14">
                  <c:v>61.9</c:v>
                </c:pt>
                <c:pt idx="15">
                  <c:v>88.5</c:v>
                </c:pt>
                <c:pt idx="16">
                  <c:v>72.7</c:v>
                </c:pt>
                <c:pt idx="17">
                  <c:v>71.4</c:v>
                </c:pt>
                <c:pt idx="18">
                  <c:v>77.6</c:v>
                </c:pt>
                <c:pt idx="19">
                  <c:v>70.1</c:v>
                </c:pt>
                <c:pt idx="20">
                  <c:v>78.8</c:v>
                </c:pt>
                <c:pt idx="21">
                  <c:v>53.2</c:v>
                </c:pt>
                <c:pt idx="22">
                  <c:v>62.5</c:v>
                </c:pt>
                <c:pt idx="23">
                  <c:v>48.6</c:v>
                </c:pt>
                <c:pt idx="24">
                  <c:v>90</c:v>
                </c:pt>
                <c:pt idx="25">
                  <c:v>89.8</c:v>
                </c:pt>
                <c:pt idx="26">
                  <c:v>76.3</c:v>
                </c:pt>
                <c:pt idx="27">
                  <c:v>59.9</c:v>
                </c:pt>
                <c:pt idx="28">
                  <c:v>93.9</c:v>
                </c:pt>
                <c:pt idx="29">
                  <c:v>64</c:v>
                </c:pt>
                <c:pt idx="30">
                  <c:v>67.9</c:v>
                </c:pt>
                <c:pt idx="31">
                  <c:v>71.6</c:v>
                </c:pt>
                <c:pt idx="32">
                  <c:v>74.5</c:v>
                </c:pt>
                <c:pt idx="33">
                  <c:v>76.4</c:v>
                </c:pt>
                <c:pt idx="34">
                  <c:v>76.8</c:v>
                </c:pt>
                <c:pt idx="35">
                  <c:v>76.7</c:v>
                </c:pt>
                <c:pt idx="36">
                  <c:v>75.8</c:v>
                </c:pt>
                <c:pt idx="37">
                  <c:v>77.6</c:v>
                </c:pt>
                <c:pt idx="38">
                  <c:v>76.4</c:v>
                </c:pt>
                <c:pt idx="39">
                  <c:v>65.6</c:v>
                </c:pt>
                <c:pt idx="40">
                  <c:v>74.6</c:v>
                </c:pt>
                <c:pt idx="41">
                  <c:v>76.5</c:v>
                </c:pt>
                <c:pt idx="42">
                  <c:v>57.1</c:v>
                </c:pt>
                <c:pt idx="43">
                  <c:v>67.3</c:v>
                </c:pt>
                <c:pt idx="44">
                  <c:v>76.1</c:v>
                </c:pt>
                <c:pt idx="45">
                  <c:v>87.1</c:v>
                </c:pt>
                <c:pt idx="46">
                  <c:v>78.2</c:v>
                </c:pt>
                <c:pt idx="47">
                  <c:v>87.7</c:v>
                </c:pt>
                <c:pt idx="48">
                  <c:v>72.5</c:v>
                </c:pt>
                <c:pt idx="49">
                  <c:v>78.1</c:v>
                </c:pt>
                <c:pt idx="50">
                  <c:v>46.7</c:v>
                </c:pt>
                <c:pt idx="51">
                  <c:v>51.4</c:v>
                </c:pt>
                <c:pt idx="52">
                  <c:v>80</c:v>
                </c:pt>
                <c:pt idx="53">
                  <c:v>76.9</c:v>
                </c:pt>
                <c:pt idx="54">
                  <c:v>46.6</c:v>
                </c:pt>
                <c:pt idx="55">
                  <c:v>82.1</c:v>
                </c:pt>
                <c:pt idx="56">
                  <c:v>61.2</c:v>
                </c:pt>
                <c:pt idx="57">
                  <c:v>61.2</c:v>
                </c:pt>
                <c:pt idx="58">
                  <c:v>75.1</c:v>
                </c:pt>
                <c:pt idx="59">
                  <c:v>69.9</c:v>
                </c:pt>
                <c:pt idx="60">
                  <c:v>80.5</c:v>
                </c:pt>
                <c:pt idx="61">
                  <c:v>74.8</c:v>
                </c:pt>
                <c:pt idx="62">
                  <c:v>85.8</c:v>
                </c:pt>
                <c:pt idx="63">
                  <c:v>79.7</c:v>
                </c:pt>
                <c:pt idx="64">
                  <c:v>77.2</c:v>
                </c:pt>
                <c:pt idx="65">
                  <c:v>66.5</c:v>
                </c:pt>
                <c:pt idx="66">
                  <c:v>65.7</c:v>
                </c:pt>
                <c:pt idx="67">
                  <c:v>69.5</c:v>
                </c:pt>
                <c:pt idx="68">
                  <c:v>88.4</c:v>
                </c:pt>
                <c:pt idx="69">
                  <c:v>65.9</c:v>
                </c:pt>
                <c:pt idx="70">
                  <c:v>72.6</c:v>
                </c:pt>
                <c:pt idx="71">
                  <c:v>47.6</c:v>
                </c:pt>
                <c:pt idx="72">
                  <c:v>76.8</c:v>
                </c:pt>
                <c:pt idx="73">
                  <c:v>92.6</c:v>
                </c:pt>
                <c:pt idx="74">
                  <c:v>60.7</c:v>
                </c:pt>
                <c:pt idx="75">
                  <c:v>100</c:v>
                </c:pt>
                <c:pt idx="76">
                  <c:v>71.8</c:v>
                </c:pt>
                <c:pt idx="77">
                  <c:v>44.3</c:v>
                </c:pt>
                <c:pt idx="78">
                  <c:v>66.1</c:v>
                </c:pt>
                <c:pt idx="79">
                  <c:v>83.3</c:v>
                </c:pt>
                <c:pt idx="80">
                  <c:v>77.2</c:v>
                </c:pt>
                <c:pt idx="81">
                  <c:v>85.7</c:v>
                </c:pt>
                <c:pt idx="82">
                  <c:v>58.2</c:v>
                </c:pt>
                <c:pt idx="83">
                  <c:v>63.2</c:v>
                </c:pt>
                <c:pt idx="84">
                  <c:v>53.2</c:v>
                </c:pt>
                <c:pt idx="85">
                  <c:v>63.9</c:v>
                </c:pt>
                <c:pt idx="86">
                  <c:v>77.6</c:v>
                </c:pt>
                <c:pt idx="87">
                  <c:v>72.1</c:v>
                </c:pt>
                <c:pt idx="88">
                  <c:v>78.7</c:v>
                </c:pt>
                <c:pt idx="89">
                  <c:v>60.6</c:v>
                </c:pt>
                <c:pt idx="90">
                  <c:v>61.2</c:v>
                </c:pt>
                <c:pt idx="91">
                  <c:v>72</c:v>
                </c:pt>
                <c:pt idx="92">
                  <c:v>64</c:v>
                </c:pt>
                <c:pt idx="93">
                  <c:v>63.7</c:v>
                </c:pt>
                <c:pt idx="94">
                  <c:v>65</c:v>
                </c:pt>
                <c:pt idx="95">
                  <c:v>74.2</c:v>
                </c:pt>
                <c:pt idx="96">
                  <c:v>66.1</c:v>
                </c:pt>
                <c:pt idx="97">
                  <c:v>57.7</c:v>
                </c:pt>
                <c:pt idx="98">
                  <c:v>59</c:v>
                </c:pt>
                <c:pt idx="99">
                  <c:v>75.4</c:v>
                </c:pt>
                <c:pt idx="100">
                  <c:v>84</c:v>
                </c:pt>
                <c:pt idx="101">
                  <c:v>63.1</c:v>
                </c:pt>
                <c:pt idx="102">
                  <c:v>76.2</c:v>
                </c:pt>
                <c:pt idx="103">
                  <c:v>63.7</c:v>
                </c:pt>
                <c:pt idx="104">
                  <c:v>60.8</c:v>
                </c:pt>
                <c:pt idx="105">
                  <c:v>72.5</c:v>
                </c:pt>
                <c:pt idx="106">
                  <c:v>80.5</c:v>
                </c:pt>
                <c:pt idx="107">
                  <c:v>67.5</c:v>
                </c:pt>
                <c:pt idx="108">
                  <c:v>69.3</c:v>
                </c:pt>
                <c:pt idx="109">
                  <c:v>78.1</c:v>
                </c:pt>
                <c:pt idx="110">
                  <c:v>78.4</c:v>
                </c:pt>
                <c:pt idx="111">
                  <c:v>69.6</c:v>
                </c:pt>
                <c:pt idx="112">
                  <c:v>65.6</c:v>
                </c:pt>
                <c:pt idx="113">
                  <c:v>70.8</c:v>
                </c:pt>
                <c:pt idx="114">
                  <c:v>68.1</c:v>
                </c:pt>
                <c:pt idx="115">
                  <c:v>73.1</c:v>
                </c:pt>
                <c:pt idx="116">
                  <c:v>58.1</c:v>
                </c:pt>
                <c:pt idx="117">
                  <c:v>72.8</c:v>
                </c:pt>
                <c:pt idx="118">
                  <c:v>62.8</c:v>
                </c:pt>
                <c:pt idx="119">
                  <c:v>79.1</c:v>
                </c:pt>
                <c:pt idx="120">
                  <c:v>63.3</c:v>
                </c:pt>
                <c:pt idx="121">
                  <c:v>63.4</c:v>
                </c:pt>
                <c:pt idx="122">
                  <c:v>70.1</c:v>
                </c:pt>
                <c:pt idx="123">
                  <c:v>92.8</c:v>
                </c:pt>
                <c:pt idx="124">
                  <c:v>71.1</c:v>
                </c:pt>
                <c:pt idx="125">
                  <c:v>81.3</c:v>
                </c:pt>
                <c:pt idx="126">
                  <c:v>64.2</c:v>
                </c:pt>
                <c:pt idx="127">
                  <c:v>60.9</c:v>
                </c:pt>
                <c:pt idx="128">
                  <c:v>61.3</c:v>
                </c:pt>
                <c:pt idx="129">
                  <c:v>53.9</c:v>
                </c:pt>
                <c:pt idx="130">
                  <c:v>83.5</c:v>
                </c:pt>
                <c:pt idx="131">
                  <c:v>66.7</c:v>
                </c:pt>
                <c:pt idx="132">
                  <c:v>65.5</c:v>
                </c:pt>
                <c:pt idx="133">
                  <c:v>48.8</c:v>
                </c:pt>
                <c:pt idx="134">
                  <c:v>55.7</c:v>
                </c:pt>
                <c:pt idx="135">
                  <c:v>84.7</c:v>
                </c:pt>
                <c:pt idx="136">
                  <c:v>73</c:v>
                </c:pt>
                <c:pt idx="137">
                  <c:v>81.7</c:v>
                </c:pt>
                <c:pt idx="138">
                  <c:v>80.4</c:v>
                </c:pt>
                <c:pt idx="139">
                  <c:v>60</c:v>
                </c:pt>
                <c:pt idx="140">
                  <c:v>94.3</c:v>
                </c:pt>
                <c:pt idx="141">
                  <c:v>89.5</c:v>
                </c:pt>
                <c:pt idx="142">
                  <c:v>64.4</c:v>
                </c:pt>
                <c:pt idx="143">
                  <c:v>34.3</c:v>
                </c:pt>
                <c:pt idx="144">
                  <c:v>66.4</c:v>
                </c:pt>
                <c:pt idx="145">
                  <c:v>72.4</c:v>
                </c:pt>
                <c:pt idx="146">
                  <c:v>64.3</c:v>
                </c:pt>
                <c:pt idx="147">
                  <c:v>67.8</c:v>
                </c:pt>
                <c:pt idx="148">
                  <c:v>61.7</c:v>
                </c:pt>
                <c:pt idx="149">
                  <c:v>79.2</c:v>
                </c:pt>
                <c:pt idx="150">
                  <c:v>70.6</c:v>
                </c:pt>
                <c:pt idx="151">
                  <c:v>79.5</c:v>
                </c:pt>
                <c:pt idx="152">
                  <c:v>82.2</c:v>
                </c:pt>
                <c:pt idx="153">
                  <c:v>48.3</c:v>
                </c:pt>
                <c:pt idx="154">
                  <c:v>62.3</c:v>
                </c:pt>
                <c:pt idx="155">
                  <c:v>63.8</c:v>
                </c:pt>
                <c:pt idx="156">
                  <c:v>71.5</c:v>
                </c:pt>
                <c:pt idx="157">
                  <c:v>51.2</c:v>
                </c:pt>
                <c:pt idx="158">
                  <c:v>71.4</c:v>
                </c:pt>
                <c:pt idx="159">
                  <c:v>79.8</c:v>
                </c:pt>
                <c:pt idx="160">
                  <c:v>78.6</c:v>
                </c:pt>
                <c:pt idx="161">
                  <c:v>76.2</c:v>
                </c:pt>
                <c:pt idx="162">
                  <c:v>70.1</c:v>
                </c:pt>
                <c:pt idx="163">
                  <c:v>70.6</c:v>
                </c:pt>
                <c:pt idx="164">
                  <c:v>53.1</c:v>
                </c:pt>
                <c:pt idx="165">
                  <c:v>61</c:v>
                </c:pt>
                <c:pt idx="166">
                  <c:v>72.3</c:v>
                </c:pt>
                <c:pt idx="167">
                  <c:v>62.8</c:v>
                </c:pt>
                <c:pt idx="168">
                  <c:v>76.9</c:v>
                </c:pt>
                <c:pt idx="169">
                  <c:v>83.7</c:v>
                </c:pt>
                <c:pt idx="170">
                  <c:v>79.6</c:v>
                </c:pt>
                <c:pt idx="171">
                  <c:v>72.3</c:v>
                </c:pt>
                <c:pt idx="172">
                  <c:v>77.5</c:v>
                </c:pt>
                <c:pt idx="173">
                  <c:v>80.1</c:v>
                </c:pt>
                <c:pt idx="174">
                  <c:v>64.9</c:v>
                </c:pt>
                <c:pt idx="175">
                  <c:v>66.7</c:v>
                </c:pt>
                <c:pt idx="176">
                  <c:v>69</c:v>
                </c:pt>
                <c:pt idx="177">
                  <c:v>65.2</c:v>
                </c:pt>
                <c:pt idx="178">
                  <c:v>80.2</c:v>
                </c:pt>
                <c:pt idx="179">
                  <c:v>63.7</c:v>
                </c:pt>
                <c:pt idx="180">
                  <c:v>82.5</c:v>
                </c:pt>
                <c:pt idx="181">
                  <c:v>66.3</c:v>
                </c:pt>
                <c:pt idx="182">
                  <c:v>74.7</c:v>
                </c:pt>
              </c:strCache>
            </c:str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F0CF-4557-9CE3-00E6D4BDC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396613999"/>
        <c:axId val="1396599599"/>
      </c:bubbleChart>
      <c:valAx>
        <c:axId val="139661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99599"/>
        <c:crosses val="autoZero"/>
        <c:crossBetween val="midCat"/>
      </c:valAx>
      <c:valAx>
        <c:axId val="139659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61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2"/>
              <c:pt idx="0">
                <c:v>High screen Time</c:v>
              </c:pt>
              <c:pt idx="1">
                <c:v>Normal</c:v>
              </c:pt>
            </c:strLit>
          </c:cat>
          <c:val>
            <c:numLit>
              <c:formatCode>General</c:formatCode>
              <c:ptCount val="2"/>
              <c:pt idx="0">
                <c:v>4.4933333333333341</c:v>
              </c:pt>
              <c:pt idx="1">
                <c:v>3.9808383233532938</c:v>
              </c:pt>
            </c:numLit>
          </c:val>
          <c:extLst>
            <c:ext xmlns:c16="http://schemas.microsoft.com/office/drawing/2014/chart" uri="{C3380CC4-5D6E-409C-BE32-E72D297353CC}">
              <c16:uniqueId val="{00000000-1D23-43AB-BF26-3562DEBB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289344447"/>
        <c:axId val="1289347327"/>
      </c:barChart>
      <c:catAx>
        <c:axId val="128934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47327"/>
        <c:crosses val="autoZero"/>
        <c:auto val="1"/>
        <c:lblAlgn val="ctr"/>
        <c:lblOffset val="100"/>
        <c:noMultiLvlLbl val="0"/>
      </c:catAx>
      <c:valAx>
        <c:axId val="1289347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4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937445319335086E-2"/>
          <c:y val="0.14294036162146398"/>
          <c:w val="0.90339588801399828"/>
          <c:h val="0.79224482356372117"/>
        </c:manualLayout>
      </c:layout>
      <c:bubbleChart>
        <c:varyColors val="0"/>
        <c:ser>
          <c:idx val="0"/>
          <c:order val="0"/>
          <c:tx>
            <c:strRef>
              <c:f>'[1]day 2 student_screen_time_raw'!$D$1</c:f>
              <c:strCache>
                <c:ptCount val="1"/>
                <c:pt idx="0">
                  <c:v>Screen_Time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1">
                  <a:alpha val="75000"/>
                </a:schemeClr>
              </a:solidFill>
            </a:ln>
            <a:effectLst>
              <a:innerShdw blurRad="114300">
                <a:schemeClr val="accent1">
                  <a:alpha val="70000"/>
                </a:schemeClr>
              </a:innerShdw>
            </a:effectLst>
          </c:spPr>
          <c:invertIfNegative val="0"/>
          <c:yVal>
            <c:numRef>
              <c:f>'[1]day 2 student_screen_time_raw'!$D$2:$D$183</c:f>
              <c:numCache>
                <c:formatCode>General</c:formatCode>
                <c:ptCount val="182"/>
                <c:pt idx="0">
                  <c:v>2.7</c:v>
                </c:pt>
                <c:pt idx="1">
                  <c:v>4</c:v>
                </c:pt>
                <c:pt idx="2">
                  <c:v>4.3</c:v>
                </c:pt>
                <c:pt idx="3">
                  <c:v>2.8</c:v>
                </c:pt>
                <c:pt idx="4">
                  <c:v>4.4000000000000004</c:v>
                </c:pt>
                <c:pt idx="5">
                  <c:v>6.7</c:v>
                </c:pt>
                <c:pt idx="6">
                  <c:v>4.5999999999999996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3.6</c:v>
                </c:pt>
                <c:pt idx="10">
                  <c:v>5.8</c:v>
                </c:pt>
                <c:pt idx="11">
                  <c:v>2</c:v>
                </c:pt>
                <c:pt idx="12">
                  <c:v>1.6</c:v>
                </c:pt>
                <c:pt idx="13">
                  <c:v>4.0999999999999996</c:v>
                </c:pt>
                <c:pt idx="14">
                  <c:v>5.6</c:v>
                </c:pt>
                <c:pt idx="15">
                  <c:v>4.4000000000000004</c:v>
                </c:pt>
                <c:pt idx="16">
                  <c:v>4.7</c:v>
                </c:pt>
                <c:pt idx="17">
                  <c:v>4.3</c:v>
                </c:pt>
                <c:pt idx="18">
                  <c:v>5.2</c:v>
                </c:pt>
                <c:pt idx="19">
                  <c:v>6</c:v>
                </c:pt>
                <c:pt idx="20">
                  <c:v>2.6</c:v>
                </c:pt>
                <c:pt idx="21">
                  <c:v>0.5</c:v>
                </c:pt>
                <c:pt idx="22">
                  <c:v>3.5</c:v>
                </c:pt>
                <c:pt idx="23">
                  <c:v>2.5</c:v>
                </c:pt>
                <c:pt idx="24">
                  <c:v>5.2</c:v>
                </c:pt>
                <c:pt idx="25">
                  <c:v>2.9</c:v>
                </c:pt>
                <c:pt idx="26">
                  <c:v>1.2</c:v>
                </c:pt>
                <c:pt idx="27">
                  <c:v>3.1</c:v>
                </c:pt>
                <c:pt idx="28">
                  <c:v>1.8</c:v>
                </c:pt>
                <c:pt idx="29">
                  <c:v>6.4</c:v>
                </c:pt>
                <c:pt idx="30">
                  <c:v>4.7</c:v>
                </c:pt>
                <c:pt idx="31">
                  <c:v>5</c:v>
                </c:pt>
                <c:pt idx="32">
                  <c:v>4.8</c:v>
                </c:pt>
                <c:pt idx="33">
                  <c:v>5.3</c:v>
                </c:pt>
                <c:pt idx="34">
                  <c:v>3.2</c:v>
                </c:pt>
                <c:pt idx="35">
                  <c:v>2.7</c:v>
                </c:pt>
                <c:pt idx="36">
                  <c:v>0.2</c:v>
                </c:pt>
                <c:pt idx="37">
                  <c:v>5.7</c:v>
                </c:pt>
                <c:pt idx="38">
                  <c:v>1.2</c:v>
                </c:pt>
                <c:pt idx="39">
                  <c:v>4.9000000000000004</c:v>
                </c:pt>
                <c:pt idx="40">
                  <c:v>3.7</c:v>
                </c:pt>
                <c:pt idx="41">
                  <c:v>4.4000000000000004</c:v>
                </c:pt>
                <c:pt idx="42">
                  <c:v>3.3</c:v>
                </c:pt>
                <c:pt idx="43">
                  <c:v>4.3</c:v>
                </c:pt>
                <c:pt idx="44">
                  <c:v>3.3</c:v>
                </c:pt>
                <c:pt idx="45">
                  <c:v>3.2</c:v>
                </c:pt>
                <c:pt idx="46">
                  <c:v>2.7</c:v>
                </c:pt>
                <c:pt idx="47">
                  <c:v>4.5999999999999996</c:v>
                </c:pt>
                <c:pt idx="48">
                  <c:v>4.3</c:v>
                </c:pt>
                <c:pt idx="49">
                  <c:v>2.7</c:v>
                </c:pt>
                <c:pt idx="50">
                  <c:v>2.5</c:v>
                </c:pt>
                <c:pt idx="51">
                  <c:v>3.3</c:v>
                </c:pt>
                <c:pt idx="52">
                  <c:v>2.2000000000000002</c:v>
                </c:pt>
                <c:pt idx="53">
                  <c:v>6.4</c:v>
                </c:pt>
                <c:pt idx="54">
                  <c:v>2</c:v>
                </c:pt>
                <c:pt idx="55">
                  <c:v>2.8</c:v>
                </c:pt>
                <c:pt idx="56">
                  <c:v>3.3</c:v>
                </c:pt>
                <c:pt idx="57">
                  <c:v>3.9</c:v>
                </c:pt>
                <c:pt idx="58">
                  <c:v>3</c:v>
                </c:pt>
                <c:pt idx="59">
                  <c:v>1.6</c:v>
                </c:pt>
                <c:pt idx="60">
                  <c:v>1.7</c:v>
                </c:pt>
                <c:pt idx="61">
                  <c:v>5</c:v>
                </c:pt>
                <c:pt idx="62">
                  <c:v>3.8</c:v>
                </c:pt>
                <c:pt idx="63">
                  <c:v>5</c:v>
                </c:pt>
                <c:pt idx="64">
                  <c:v>5.2</c:v>
                </c:pt>
                <c:pt idx="65">
                  <c:v>4.2</c:v>
                </c:pt>
                <c:pt idx="66">
                  <c:v>2.2000000000000002</c:v>
                </c:pt>
                <c:pt idx="67">
                  <c:v>4.3</c:v>
                </c:pt>
                <c:pt idx="68">
                  <c:v>6.1</c:v>
                </c:pt>
                <c:pt idx="69">
                  <c:v>3.3</c:v>
                </c:pt>
                <c:pt idx="70">
                  <c:v>4.5</c:v>
                </c:pt>
                <c:pt idx="71">
                  <c:v>4</c:v>
                </c:pt>
                <c:pt idx="72">
                  <c:v>6.1</c:v>
                </c:pt>
                <c:pt idx="73">
                  <c:v>3</c:v>
                </c:pt>
                <c:pt idx="74">
                  <c:v>5.7</c:v>
                </c:pt>
                <c:pt idx="75">
                  <c:v>3.4</c:v>
                </c:pt>
                <c:pt idx="76">
                  <c:v>3</c:v>
                </c:pt>
                <c:pt idx="77">
                  <c:v>4.2</c:v>
                </c:pt>
                <c:pt idx="78">
                  <c:v>4.5</c:v>
                </c:pt>
                <c:pt idx="79">
                  <c:v>4.5</c:v>
                </c:pt>
                <c:pt idx="80">
                  <c:v>4.3</c:v>
                </c:pt>
                <c:pt idx="81">
                  <c:v>6.4</c:v>
                </c:pt>
                <c:pt idx="82">
                  <c:v>4.9000000000000004</c:v>
                </c:pt>
                <c:pt idx="83">
                  <c:v>3</c:v>
                </c:pt>
                <c:pt idx="84">
                  <c:v>6</c:v>
                </c:pt>
                <c:pt idx="85">
                  <c:v>2.9</c:v>
                </c:pt>
                <c:pt idx="86">
                  <c:v>3</c:v>
                </c:pt>
                <c:pt idx="87">
                  <c:v>2.7</c:v>
                </c:pt>
                <c:pt idx="88">
                  <c:v>2.6</c:v>
                </c:pt>
                <c:pt idx="89">
                  <c:v>4.5</c:v>
                </c:pt>
                <c:pt idx="90">
                  <c:v>3.6</c:v>
                </c:pt>
                <c:pt idx="91">
                  <c:v>0</c:v>
                </c:pt>
                <c:pt idx="92">
                  <c:v>3.2</c:v>
                </c:pt>
                <c:pt idx="93">
                  <c:v>5.3</c:v>
                </c:pt>
                <c:pt idx="94">
                  <c:v>3.2</c:v>
                </c:pt>
                <c:pt idx="95">
                  <c:v>7.8</c:v>
                </c:pt>
                <c:pt idx="96">
                  <c:v>6.1</c:v>
                </c:pt>
                <c:pt idx="97">
                  <c:v>3.4</c:v>
                </c:pt>
                <c:pt idx="98">
                  <c:v>5.7</c:v>
                </c:pt>
                <c:pt idx="99">
                  <c:v>4.4000000000000004</c:v>
                </c:pt>
                <c:pt idx="100">
                  <c:v>5.2</c:v>
                </c:pt>
                <c:pt idx="101">
                  <c:v>4.0999999999999996</c:v>
                </c:pt>
                <c:pt idx="102">
                  <c:v>4.4000000000000004</c:v>
                </c:pt>
                <c:pt idx="103">
                  <c:v>5.2</c:v>
                </c:pt>
                <c:pt idx="104">
                  <c:v>7.1</c:v>
                </c:pt>
                <c:pt idx="105">
                  <c:v>4.4000000000000004</c:v>
                </c:pt>
                <c:pt idx="106">
                  <c:v>3.3</c:v>
                </c:pt>
                <c:pt idx="107">
                  <c:v>1</c:v>
                </c:pt>
                <c:pt idx="108">
                  <c:v>6.9</c:v>
                </c:pt>
                <c:pt idx="109">
                  <c:v>3.6</c:v>
                </c:pt>
                <c:pt idx="110">
                  <c:v>4.8</c:v>
                </c:pt>
                <c:pt idx="111">
                  <c:v>6.9</c:v>
                </c:pt>
                <c:pt idx="112">
                  <c:v>4.3</c:v>
                </c:pt>
                <c:pt idx="113">
                  <c:v>3.7</c:v>
                </c:pt>
                <c:pt idx="114">
                  <c:v>6.1</c:v>
                </c:pt>
                <c:pt idx="115">
                  <c:v>4.7</c:v>
                </c:pt>
                <c:pt idx="116">
                  <c:v>4.9000000000000004</c:v>
                </c:pt>
                <c:pt idx="117">
                  <c:v>1.7</c:v>
                </c:pt>
                <c:pt idx="118">
                  <c:v>5.8</c:v>
                </c:pt>
                <c:pt idx="119">
                  <c:v>4.5999999999999996</c:v>
                </c:pt>
                <c:pt idx="120">
                  <c:v>1.9</c:v>
                </c:pt>
                <c:pt idx="121">
                  <c:v>0.9</c:v>
                </c:pt>
                <c:pt idx="122">
                  <c:v>7.5</c:v>
                </c:pt>
                <c:pt idx="123">
                  <c:v>6.4</c:v>
                </c:pt>
                <c:pt idx="124">
                  <c:v>2.8</c:v>
                </c:pt>
                <c:pt idx="125">
                  <c:v>4.8</c:v>
                </c:pt>
                <c:pt idx="126">
                  <c:v>2.6</c:v>
                </c:pt>
                <c:pt idx="127">
                  <c:v>5.5</c:v>
                </c:pt>
                <c:pt idx="128">
                  <c:v>3.6</c:v>
                </c:pt>
                <c:pt idx="129">
                  <c:v>4.7</c:v>
                </c:pt>
                <c:pt idx="130">
                  <c:v>4</c:v>
                </c:pt>
                <c:pt idx="131">
                  <c:v>2</c:v>
                </c:pt>
                <c:pt idx="132">
                  <c:v>4.8</c:v>
                </c:pt>
                <c:pt idx="133">
                  <c:v>3.2</c:v>
                </c:pt>
                <c:pt idx="134">
                  <c:v>5.6</c:v>
                </c:pt>
                <c:pt idx="135">
                  <c:v>3.6</c:v>
                </c:pt>
                <c:pt idx="136">
                  <c:v>3.9</c:v>
                </c:pt>
                <c:pt idx="137">
                  <c:v>6.5</c:v>
                </c:pt>
                <c:pt idx="138">
                  <c:v>7.6</c:v>
                </c:pt>
                <c:pt idx="139">
                  <c:v>5.2</c:v>
                </c:pt>
                <c:pt idx="140">
                  <c:v>3.6</c:v>
                </c:pt>
                <c:pt idx="141">
                  <c:v>3.4</c:v>
                </c:pt>
                <c:pt idx="142">
                  <c:v>2.8</c:v>
                </c:pt>
                <c:pt idx="143">
                  <c:v>3.1</c:v>
                </c:pt>
                <c:pt idx="144">
                  <c:v>3.6</c:v>
                </c:pt>
                <c:pt idx="145">
                  <c:v>6.9</c:v>
                </c:pt>
                <c:pt idx="146">
                  <c:v>3.7</c:v>
                </c:pt>
                <c:pt idx="147">
                  <c:v>2.2000000000000002</c:v>
                </c:pt>
                <c:pt idx="148">
                  <c:v>4.0999999999999996</c:v>
                </c:pt>
                <c:pt idx="149">
                  <c:v>4.3</c:v>
                </c:pt>
                <c:pt idx="150">
                  <c:v>4.0999999999999996</c:v>
                </c:pt>
                <c:pt idx="151">
                  <c:v>5.2</c:v>
                </c:pt>
                <c:pt idx="152">
                  <c:v>4.0999999999999996</c:v>
                </c:pt>
                <c:pt idx="153">
                  <c:v>5.2</c:v>
                </c:pt>
                <c:pt idx="154">
                  <c:v>2.8</c:v>
                </c:pt>
                <c:pt idx="155">
                  <c:v>4.4000000000000004</c:v>
                </c:pt>
                <c:pt idx="156">
                  <c:v>2.8</c:v>
                </c:pt>
                <c:pt idx="157">
                  <c:v>4.7</c:v>
                </c:pt>
                <c:pt idx="158">
                  <c:v>5</c:v>
                </c:pt>
                <c:pt idx="159">
                  <c:v>2.2000000000000002</c:v>
                </c:pt>
                <c:pt idx="160">
                  <c:v>1.5</c:v>
                </c:pt>
                <c:pt idx="161">
                  <c:v>4.4000000000000004</c:v>
                </c:pt>
                <c:pt idx="162">
                  <c:v>3.3</c:v>
                </c:pt>
                <c:pt idx="163">
                  <c:v>4.4000000000000004</c:v>
                </c:pt>
                <c:pt idx="164">
                  <c:v>2.1</c:v>
                </c:pt>
                <c:pt idx="165">
                  <c:v>1.7</c:v>
                </c:pt>
                <c:pt idx="166">
                  <c:v>4.3</c:v>
                </c:pt>
                <c:pt idx="167">
                  <c:v>3.5</c:v>
                </c:pt>
                <c:pt idx="168">
                  <c:v>6</c:v>
                </c:pt>
                <c:pt idx="169">
                  <c:v>2</c:v>
                </c:pt>
                <c:pt idx="170">
                  <c:v>7.9</c:v>
                </c:pt>
                <c:pt idx="171">
                  <c:v>3.1</c:v>
                </c:pt>
                <c:pt idx="172">
                  <c:v>4.5999999999999996</c:v>
                </c:pt>
                <c:pt idx="173">
                  <c:v>6.5</c:v>
                </c:pt>
                <c:pt idx="174">
                  <c:v>6.2</c:v>
                </c:pt>
                <c:pt idx="175">
                  <c:v>7</c:v>
                </c:pt>
                <c:pt idx="176">
                  <c:v>1.7</c:v>
                </c:pt>
                <c:pt idx="177">
                  <c:v>2.2999999999999998</c:v>
                </c:pt>
                <c:pt idx="178">
                  <c:v>4.3</c:v>
                </c:pt>
                <c:pt idx="179">
                  <c:v>5.3</c:v>
                </c:pt>
                <c:pt idx="180">
                  <c:v>4</c:v>
                </c:pt>
                <c:pt idx="181">
                  <c:v>1.5</c:v>
                </c:pt>
              </c:numCache>
            </c:numRef>
          </c:yVal>
          <c:bubbleSize>
            <c:numLit>
              <c:formatCode>General</c:formatCode>
              <c:ptCount val="18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1</c:v>
              </c:pt>
              <c:pt idx="71">
                <c:v>1</c:v>
              </c:pt>
              <c:pt idx="72">
                <c:v>1</c:v>
              </c:pt>
              <c:pt idx="73">
                <c:v>1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1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1</c:v>
              </c:pt>
              <c:pt idx="84">
                <c:v>1</c:v>
              </c:pt>
              <c:pt idx="85">
                <c:v>1</c:v>
              </c:pt>
              <c:pt idx="86">
                <c:v>1</c:v>
              </c:pt>
              <c:pt idx="87">
                <c:v>1</c:v>
              </c:pt>
              <c:pt idx="88">
                <c:v>1</c:v>
              </c:pt>
              <c:pt idx="89">
                <c:v>1</c:v>
              </c:pt>
              <c:pt idx="90">
                <c:v>1</c:v>
              </c:pt>
              <c:pt idx="91">
                <c:v>1</c:v>
              </c:pt>
              <c:pt idx="92">
                <c:v>1</c:v>
              </c:pt>
              <c:pt idx="93">
                <c:v>1</c:v>
              </c:pt>
              <c:pt idx="94">
                <c:v>1</c:v>
              </c:pt>
              <c:pt idx="95">
                <c:v>1</c:v>
              </c:pt>
              <c:pt idx="96">
                <c:v>1</c:v>
              </c:pt>
              <c:pt idx="97">
                <c:v>1</c:v>
              </c:pt>
              <c:pt idx="98">
                <c:v>1</c:v>
              </c:pt>
              <c:pt idx="99">
                <c:v>1</c:v>
              </c:pt>
              <c:pt idx="100">
                <c:v>1</c:v>
              </c:pt>
              <c:pt idx="101">
                <c:v>1</c:v>
              </c:pt>
              <c:pt idx="102">
                <c:v>1</c:v>
              </c:pt>
              <c:pt idx="103">
                <c:v>1</c:v>
              </c:pt>
              <c:pt idx="104">
                <c:v>1</c:v>
              </c:pt>
              <c:pt idx="105">
                <c:v>1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1</c:v>
              </c:pt>
              <c:pt idx="110">
                <c:v>1</c:v>
              </c:pt>
              <c:pt idx="111">
                <c:v>1</c:v>
              </c:pt>
              <c:pt idx="112">
                <c:v>1</c:v>
              </c:pt>
              <c:pt idx="113">
                <c:v>1</c:v>
              </c:pt>
              <c:pt idx="114">
                <c:v>1</c:v>
              </c:pt>
              <c:pt idx="115">
                <c:v>1</c:v>
              </c:pt>
              <c:pt idx="116">
                <c:v>1</c:v>
              </c:pt>
              <c:pt idx="117">
                <c:v>1</c:v>
              </c:pt>
              <c:pt idx="118">
                <c:v>1</c:v>
              </c:pt>
              <c:pt idx="119">
                <c:v>1</c:v>
              </c:pt>
              <c:pt idx="120">
                <c:v>1</c:v>
              </c:pt>
              <c:pt idx="121">
                <c:v>1</c:v>
              </c:pt>
              <c:pt idx="122">
                <c:v>1</c:v>
              </c:pt>
              <c:pt idx="123">
                <c:v>1</c:v>
              </c:pt>
              <c:pt idx="124">
                <c:v>1</c:v>
              </c:pt>
              <c:pt idx="125">
                <c:v>1</c:v>
              </c:pt>
              <c:pt idx="126">
                <c:v>1</c:v>
              </c:pt>
              <c:pt idx="127">
                <c:v>1</c:v>
              </c:pt>
              <c:pt idx="128">
                <c:v>1</c:v>
              </c:pt>
              <c:pt idx="129">
                <c:v>1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1</c:v>
              </c:pt>
              <c:pt idx="136">
                <c:v>1</c:v>
              </c:pt>
              <c:pt idx="137">
                <c:v>1</c:v>
              </c:pt>
              <c:pt idx="138">
                <c:v>1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1</c:v>
              </c:pt>
              <c:pt idx="143">
                <c:v>1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1</c:v>
              </c:pt>
              <c:pt idx="149">
                <c:v>1</c:v>
              </c:pt>
              <c:pt idx="150">
                <c:v>1</c:v>
              </c:pt>
              <c:pt idx="151">
                <c:v>1</c:v>
              </c:pt>
              <c:pt idx="152">
                <c:v>1</c:v>
              </c:pt>
              <c:pt idx="153">
                <c:v>1</c:v>
              </c:pt>
              <c:pt idx="154">
                <c:v>1</c:v>
              </c:pt>
              <c:pt idx="155">
                <c:v>1</c:v>
              </c:pt>
              <c:pt idx="156">
                <c:v>1</c:v>
              </c:pt>
              <c:pt idx="157">
                <c:v>1</c:v>
              </c:pt>
              <c:pt idx="158">
                <c:v>1</c:v>
              </c:pt>
              <c:pt idx="159">
                <c:v>1</c:v>
              </c:pt>
              <c:pt idx="160">
                <c:v>1</c:v>
              </c:pt>
              <c:pt idx="161">
                <c:v>1</c:v>
              </c:pt>
              <c:pt idx="162">
                <c:v>1</c:v>
              </c:pt>
              <c:pt idx="163">
                <c:v>1</c:v>
              </c:pt>
              <c:pt idx="164">
                <c:v>1</c:v>
              </c:pt>
              <c:pt idx="165">
                <c:v>1</c:v>
              </c:pt>
              <c:pt idx="166">
                <c:v>1</c:v>
              </c:pt>
              <c:pt idx="167">
                <c:v>1</c:v>
              </c:pt>
              <c:pt idx="168">
                <c:v>1</c:v>
              </c:pt>
              <c:pt idx="169">
                <c:v>1</c:v>
              </c:pt>
              <c:pt idx="170">
                <c:v>1</c:v>
              </c:pt>
              <c:pt idx="171">
                <c:v>1</c:v>
              </c:pt>
              <c:pt idx="172">
                <c:v>1</c:v>
              </c:pt>
              <c:pt idx="173">
                <c:v>1</c:v>
              </c:pt>
              <c:pt idx="174">
                <c:v>1</c:v>
              </c:pt>
              <c:pt idx="175">
                <c:v>1</c:v>
              </c:pt>
              <c:pt idx="176">
                <c:v>1</c:v>
              </c:pt>
              <c:pt idx="177">
                <c:v>1</c:v>
              </c:pt>
              <c:pt idx="178">
                <c:v>1</c:v>
              </c:pt>
              <c:pt idx="179">
                <c:v>1</c:v>
              </c:pt>
              <c:pt idx="180">
                <c:v>1</c:v>
              </c:pt>
              <c:pt idx="181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6D88-486F-9E33-FD7B03303A18}"/>
            </c:ext>
          </c:extLst>
        </c:ser>
        <c:ser>
          <c:idx val="1"/>
          <c:order val="1"/>
          <c:spPr>
            <a:pattFill prst="ltUp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2">
                  <a:alpha val="75000"/>
                </a:schemeClr>
              </a:solidFill>
            </a:ln>
            <a:effectLst>
              <a:innerShdw blurRad="114300">
                <a:schemeClr val="accent2">
                  <a:alpha val="70000"/>
                </a:schemeClr>
              </a:innerShdw>
            </a:effectLst>
          </c:spPr>
          <c:invertIfNegative val="0"/>
          <c:xVal>
            <c:strRef>
              <c:f>'[1]day 2 student_screen_time_raw'!$E:$E</c:f>
              <c:strCache>
                <c:ptCount val="1048576"/>
                <c:pt idx="0">
                  <c:v>Test_Scores</c:v>
                </c:pt>
                <c:pt idx="1">
                  <c:v>75</c:v>
                </c:pt>
                <c:pt idx="2">
                  <c:v>68.1</c:v>
                </c:pt>
                <c:pt idx="3">
                  <c:v>67.9</c:v>
                </c:pt>
                <c:pt idx="4">
                  <c:v>47.2</c:v>
                </c:pt>
                <c:pt idx="5">
                  <c:v>71.5</c:v>
                </c:pt>
                <c:pt idx="6">
                  <c:v>88</c:v>
                </c:pt>
                <c:pt idx="7">
                  <c:v>69.3</c:v>
                </c:pt>
                <c:pt idx="8">
                  <c:v>75.7</c:v>
                </c:pt>
                <c:pt idx="9">
                  <c:v>78.3</c:v>
                </c:pt>
                <c:pt idx="10">
                  <c:v>52.5</c:v>
                </c:pt>
                <c:pt idx="11">
                  <c:v>96.2</c:v>
                </c:pt>
                <c:pt idx="12">
                  <c:v>74.9</c:v>
                </c:pt>
                <c:pt idx="13">
                  <c:v>76.4</c:v>
                </c:pt>
                <c:pt idx="14">
                  <c:v>61.9</c:v>
                </c:pt>
                <c:pt idx="15">
                  <c:v>88.5</c:v>
                </c:pt>
                <c:pt idx="16">
                  <c:v>72.7</c:v>
                </c:pt>
                <c:pt idx="17">
                  <c:v>71.4</c:v>
                </c:pt>
                <c:pt idx="18">
                  <c:v>77.6</c:v>
                </c:pt>
                <c:pt idx="19">
                  <c:v>70.1</c:v>
                </c:pt>
                <c:pt idx="20">
                  <c:v>78.8</c:v>
                </c:pt>
                <c:pt idx="21">
                  <c:v>53.2</c:v>
                </c:pt>
                <c:pt idx="22">
                  <c:v>62.5</c:v>
                </c:pt>
                <c:pt idx="23">
                  <c:v>48.6</c:v>
                </c:pt>
                <c:pt idx="24">
                  <c:v>90</c:v>
                </c:pt>
                <c:pt idx="25">
                  <c:v>89.8</c:v>
                </c:pt>
                <c:pt idx="26">
                  <c:v>76.3</c:v>
                </c:pt>
                <c:pt idx="27">
                  <c:v>59.9</c:v>
                </c:pt>
                <c:pt idx="28">
                  <c:v>93.9</c:v>
                </c:pt>
                <c:pt idx="29">
                  <c:v>64</c:v>
                </c:pt>
                <c:pt idx="30">
                  <c:v>67.9</c:v>
                </c:pt>
                <c:pt idx="31">
                  <c:v>71.6</c:v>
                </c:pt>
                <c:pt idx="32">
                  <c:v>74.5</c:v>
                </c:pt>
                <c:pt idx="33">
                  <c:v>76.4</c:v>
                </c:pt>
                <c:pt idx="34">
                  <c:v>76.8</c:v>
                </c:pt>
                <c:pt idx="35">
                  <c:v>76.7</c:v>
                </c:pt>
                <c:pt idx="36">
                  <c:v>75.8</c:v>
                </c:pt>
                <c:pt idx="37">
                  <c:v>77.6</c:v>
                </c:pt>
                <c:pt idx="38">
                  <c:v>76.4</c:v>
                </c:pt>
                <c:pt idx="39">
                  <c:v>65.6</c:v>
                </c:pt>
                <c:pt idx="40">
                  <c:v>74.6</c:v>
                </c:pt>
                <c:pt idx="41">
                  <c:v>76.5</c:v>
                </c:pt>
                <c:pt idx="42">
                  <c:v>57.1</c:v>
                </c:pt>
                <c:pt idx="43">
                  <c:v>67.3</c:v>
                </c:pt>
                <c:pt idx="44">
                  <c:v>76.1</c:v>
                </c:pt>
                <c:pt idx="45">
                  <c:v>87.1</c:v>
                </c:pt>
                <c:pt idx="46">
                  <c:v>78.2</c:v>
                </c:pt>
                <c:pt idx="47">
                  <c:v>87.7</c:v>
                </c:pt>
                <c:pt idx="48">
                  <c:v>72.5</c:v>
                </c:pt>
                <c:pt idx="49">
                  <c:v>78.1</c:v>
                </c:pt>
                <c:pt idx="50">
                  <c:v>46.7</c:v>
                </c:pt>
                <c:pt idx="51">
                  <c:v>51.4</c:v>
                </c:pt>
                <c:pt idx="52">
                  <c:v>80</c:v>
                </c:pt>
                <c:pt idx="53">
                  <c:v>76.9</c:v>
                </c:pt>
                <c:pt idx="54">
                  <c:v>46.6</c:v>
                </c:pt>
                <c:pt idx="55">
                  <c:v>82.1</c:v>
                </c:pt>
                <c:pt idx="56">
                  <c:v>61.2</c:v>
                </c:pt>
                <c:pt idx="57">
                  <c:v>61.2</c:v>
                </c:pt>
                <c:pt idx="58">
                  <c:v>75.1</c:v>
                </c:pt>
                <c:pt idx="59">
                  <c:v>69.9</c:v>
                </c:pt>
                <c:pt idx="60">
                  <c:v>80.5</c:v>
                </c:pt>
                <c:pt idx="61">
                  <c:v>74.8</c:v>
                </c:pt>
                <c:pt idx="62">
                  <c:v>85.8</c:v>
                </c:pt>
                <c:pt idx="63">
                  <c:v>79.7</c:v>
                </c:pt>
                <c:pt idx="64">
                  <c:v>77.2</c:v>
                </c:pt>
                <c:pt idx="65">
                  <c:v>66.5</c:v>
                </c:pt>
                <c:pt idx="66">
                  <c:v>65.7</c:v>
                </c:pt>
                <c:pt idx="67">
                  <c:v>69.5</c:v>
                </c:pt>
                <c:pt idx="68">
                  <c:v>88.4</c:v>
                </c:pt>
                <c:pt idx="69">
                  <c:v>65.9</c:v>
                </c:pt>
                <c:pt idx="70">
                  <c:v>72.6</c:v>
                </c:pt>
                <c:pt idx="71">
                  <c:v>47.6</c:v>
                </c:pt>
                <c:pt idx="72">
                  <c:v>76.8</c:v>
                </c:pt>
                <c:pt idx="73">
                  <c:v>92.6</c:v>
                </c:pt>
                <c:pt idx="74">
                  <c:v>60.7</c:v>
                </c:pt>
                <c:pt idx="75">
                  <c:v>100</c:v>
                </c:pt>
                <c:pt idx="76">
                  <c:v>71.8</c:v>
                </c:pt>
                <c:pt idx="77">
                  <c:v>44.3</c:v>
                </c:pt>
                <c:pt idx="78">
                  <c:v>66.1</c:v>
                </c:pt>
                <c:pt idx="79">
                  <c:v>83.3</c:v>
                </c:pt>
                <c:pt idx="80">
                  <c:v>77.2</c:v>
                </c:pt>
                <c:pt idx="81">
                  <c:v>85.7</c:v>
                </c:pt>
                <c:pt idx="82">
                  <c:v>58.2</c:v>
                </c:pt>
                <c:pt idx="83">
                  <c:v>63.2</c:v>
                </c:pt>
                <c:pt idx="84">
                  <c:v>53.2</c:v>
                </c:pt>
                <c:pt idx="85">
                  <c:v>63.9</c:v>
                </c:pt>
                <c:pt idx="86">
                  <c:v>77.6</c:v>
                </c:pt>
                <c:pt idx="87">
                  <c:v>72.1</c:v>
                </c:pt>
                <c:pt idx="88">
                  <c:v>78.7</c:v>
                </c:pt>
                <c:pt idx="89">
                  <c:v>60.6</c:v>
                </c:pt>
                <c:pt idx="90">
                  <c:v>61.2</c:v>
                </c:pt>
                <c:pt idx="91">
                  <c:v>72</c:v>
                </c:pt>
                <c:pt idx="92">
                  <c:v>64</c:v>
                </c:pt>
                <c:pt idx="93">
                  <c:v>63.7</c:v>
                </c:pt>
                <c:pt idx="94">
                  <c:v>65</c:v>
                </c:pt>
                <c:pt idx="95">
                  <c:v>74.2</c:v>
                </c:pt>
                <c:pt idx="96">
                  <c:v>66.1</c:v>
                </c:pt>
                <c:pt idx="97">
                  <c:v>57.7</c:v>
                </c:pt>
                <c:pt idx="98">
                  <c:v>59</c:v>
                </c:pt>
                <c:pt idx="99">
                  <c:v>75.4</c:v>
                </c:pt>
                <c:pt idx="100">
                  <c:v>84</c:v>
                </c:pt>
                <c:pt idx="101">
                  <c:v>63.1</c:v>
                </c:pt>
                <c:pt idx="102">
                  <c:v>76.2</c:v>
                </c:pt>
                <c:pt idx="103">
                  <c:v>63.7</c:v>
                </c:pt>
                <c:pt idx="104">
                  <c:v>60.8</c:v>
                </c:pt>
                <c:pt idx="105">
                  <c:v>72.5</c:v>
                </c:pt>
                <c:pt idx="106">
                  <c:v>80.5</c:v>
                </c:pt>
                <c:pt idx="107">
                  <c:v>67.5</c:v>
                </c:pt>
                <c:pt idx="108">
                  <c:v>69.3</c:v>
                </c:pt>
                <c:pt idx="109">
                  <c:v>78.1</c:v>
                </c:pt>
                <c:pt idx="110">
                  <c:v>78.4</c:v>
                </c:pt>
                <c:pt idx="111">
                  <c:v>69.6</c:v>
                </c:pt>
                <c:pt idx="112">
                  <c:v>65.6</c:v>
                </c:pt>
                <c:pt idx="113">
                  <c:v>70.8</c:v>
                </c:pt>
                <c:pt idx="114">
                  <c:v>68.1</c:v>
                </c:pt>
                <c:pt idx="115">
                  <c:v>73.1</c:v>
                </c:pt>
                <c:pt idx="116">
                  <c:v>58.1</c:v>
                </c:pt>
                <c:pt idx="117">
                  <c:v>72.8</c:v>
                </c:pt>
                <c:pt idx="118">
                  <c:v>62.8</c:v>
                </c:pt>
                <c:pt idx="119">
                  <c:v>79.1</c:v>
                </c:pt>
                <c:pt idx="120">
                  <c:v>63.3</c:v>
                </c:pt>
                <c:pt idx="121">
                  <c:v>63.4</c:v>
                </c:pt>
                <c:pt idx="122">
                  <c:v>70.1</c:v>
                </c:pt>
                <c:pt idx="123">
                  <c:v>92.8</c:v>
                </c:pt>
                <c:pt idx="124">
                  <c:v>71.1</c:v>
                </c:pt>
                <c:pt idx="125">
                  <c:v>81.3</c:v>
                </c:pt>
                <c:pt idx="126">
                  <c:v>64.2</c:v>
                </c:pt>
                <c:pt idx="127">
                  <c:v>60.9</c:v>
                </c:pt>
                <c:pt idx="128">
                  <c:v>61.3</c:v>
                </c:pt>
                <c:pt idx="129">
                  <c:v>53.9</c:v>
                </c:pt>
                <c:pt idx="130">
                  <c:v>83.5</c:v>
                </c:pt>
                <c:pt idx="131">
                  <c:v>66.7</c:v>
                </c:pt>
                <c:pt idx="132">
                  <c:v>65.5</c:v>
                </c:pt>
                <c:pt idx="133">
                  <c:v>48.8</c:v>
                </c:pt>
                <c:pt idx="134">
                  <c:v>55.7</c:v>
                </c:pt>
                <c:pt idx="135">
                  <c:v>84.7</c:v>
                </c:pt>
                <c:pt idx="136">
                  <c:v>73</c:v>
                </c:pt>
                <c:pt idx="137">
                  <c:v>81.7</c:v>
                </c:pt>
                <c:pt idx="138">
                  <c:v>80.4</c:v>
                </c:pt>
                <c:pt idx="139">
                  <c:v>60</c:v>
                </c:pt>
                <c:pt idx="140">
                  <c:v>94.3</c:v>
                </c:pt>
                <c:pt idx="141">
                  <c:v>89.5</c:v>
                </c:pt>
                <c:pt idx="142">
                  <c:v>64.4</c:v>
                </c:pt>
                <c:pt idx="143">
                  <c:v>34.3</c:v>
                </c:pt>
                <c:pt idx="144">
                  <c:v>66.4</c:v>
                </c:pt>
                <c:pt idx="145">
                  <c:v>72.4</c:v>
                </c:pt>
                <c:pt idx="146">
                  <c:v>64.3</c:v>
                </c:pt>
                <c:pt idx="147">
                  <c:v>67.8</c:v>
                </c:pt>
                <c:pt idx="148">
                  <c:v>61.7</c:v>
                </c:pt>
                <c:pt idx="149">
                  <c:v>79.2</c:v>
                </c:pt>
                <c:pt idx="150">
                  <c:v>70.6</c:v>
                </c:pt>
                <c:pt idx="151">
                  <c:v>79.5</c:v>
                </c:pt>
                <c:pt idx="152">
                  <c:v>82.2</c:v>
                </c:pt>
                <c:pt idx="153">
                  <c:v>48.3</c:v>
                </c:pt>
                <c:pt idx="154">
                  <c:v>62.3</c:v>
                </c:pt>
                <c:pt idx="155">
                  <c:v>63.8</c:v>
                </c:pt>
                <c:pt idx="156">
                  <c:v>71.5</c:v>
                </c:pt>
                <c:pt idx="157">
                  <c:v>51.2</c:v>
                </c:pt>
                <c:pt idx="158">
                  <c:v>71.4</c:v>
                </c:pt>
                <c:pt idx="159">
                  <c:v>79.8</c:v>
                </c:pt>
                <c:pt idx="160">
                  <c:v>78.6</c:v>
                </c:pt>
                <c:pt idx="161">
                  <c:v>76.2</c:v>
                </c:pt>
                <c:pt idx="162">
                  <c:v>70.1</c:v>
                </c:pt>
                <c:pt idx="163">
                  <c:v>70.6</c:v>
                </c:pt>
                <c:pt idx="164">
                  <c:v>53.1</c:v>
                </c:pt>
                <c:pt idx="165">
                  <c:v>61</c:v>
                </c:pt>
                <c:pt idx="166">
                  <c:v>72.3</c:v>
                </c:pt>
                <c:pt idx="167">
                  <c:v>62.8</c:v>
                </c:pt>
                <c:pt idx="168">
                  <c:v>76.9</c:v>
                </c:pt>
                <c:pt idx="169">
                  <c:v>83.7</c:v>
                </c:pt>
                <c:pt idx="170">
                  <c:v>79.6</c:v>
                </c:pt>
                <c:pt idx="171">
                  <c:v>72.3</c:v>
                </c:pt>
                <c:pt idx="172">
                  <c:v>77.5</c:v>
                </c:pt>
                <c:pt idx="173">
                  <c:v>80.1</c:v>
                </c:pt>
                <c:pt idx="174">
                  <c:v>64.9</c:v>
                </c:pt>
                <c:pt idx="175">
                  <c:v>66.7</c:v>
                </c:pt>
                <c:pt idx="176">
                  <c:v>69</c:v>
                </c:pt>
                <c:pt idx="177">
                  <c:v>65.2</c:v>
                </c:pt>
                <c:pt idx="178">
                  <c:v>80.2</c:v>
                </c:pt>
                <c:pt idx="179">
                  <c:v>63.7</c:v>
                </c:pt>
                <c:pt idx="180">
                  <c:v>82.5</c:v>
                </c:pt>
                <c:pt idx="181">
                  <c:v>66.3</c:v>
                </c:pt>
                <c:pt idx="182">
                  <c:v>74.7</c:v>
                </c:pt>
              </c:strCache>
            </c:str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6D88-486F-9E33-FD7B03303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396613999"/>
        <c:axId val="1396599599"/>
      </c:bubbleChart>
      <c:valAx>
        <c:axId val="139661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99599"/>
        <c:crosses val="autoZero"/>
        <c:crossBetween val="midCat"/>
      </c:valAx>
      <c:valAx>
        <c:axId val="139659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61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9930906072638357"/>
          <c:y val="0"/>
          <c:w val="0.3996721964241649"/>
          <c:h val="0.10116977284314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 cap="flat" cmpd="sng" algn="ctr">
        <a:solidFill>
          <a:schemeClr val="phClr">
            <a:alpha val="75000"/>
          </a:schemeClr>
        </a:solidFill>
      </a:ln>
      <a:effectLst>
        <a:innerShdw blurRad="114300">
          <a:schemeClr val="phClr">
            <a:alpha val="70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 cap="flat" cmpd="sng" algn="ctr">
        <a:solidFill>
          <a:schemeClr val="phClr">
            <a:alpha val="75000"/>
          </a:schemeClr>
        </a:solidFill>
      </a:ln>
      <a:effectLst>
        <a:innerShdw blurRad="114300">
          <a:schemeClr val="phClr">
            <a:alpha val="70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 cap="flat" cmpd="sng" algn="ctr">
        <a:solidFill>
          <a:schemeClr val="phClr">
            <a:alpha val="75000"/>
          </a:schemeClr>
        </a:solidFill>
      </a:ln>
      <a:effectLst>
        <a:innerShdw blurRad="114300">
          <a:schemeClr val="phClr">
            <a:alpha val="70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 cap="flat" cmpd="sng" algn="ctr">
        <a:solidFill>
          <a:schemeClr val="phClr">
            <a:alpha val="75000"/>
          </a:schemeClr>
        </a:solidFill>
      </a:ln>
      <a:effectLst>
        <a:innerShdw blurRad="114300">
          <a:schemeClr val="phClr">
            <a:alpha val="70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701040</xdr:colOff>
      <xdr:row>1</xdr:row>
      <xdr:rowOff>0</xdr:rowOff>
    </xdr:from>
    <xdr:to>
      <xdr:col>11</xdr:col>
      <xdr:colOff>320040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72B0F-8DED-4323-B746-AA5A7A945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624840</xdr:colOff>
      <xdr:row>17</xdr:row>
      <xdr:rowOff>121920</xdr:rowOff>
    </xdr:from>
    <xdr:to>
      <xdr:col>11</xdr:col>
      <xdr:colOff>198120</xdr:colOff>
      <xdr:row>32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C52D6F-04C1-4E49-A414-EACB3D085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0</xdr:row>
      <xdr:rowOff>160020</xdr:rowOff>
    </xdr:from>
    <xdr:to>
      <xdr:col>17</xdr:col>
      <xdr:colOff>541020</xdr:colOff>
      <xdr:row>27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004A8BD-73D7-418E-96C4-48F11098E1A6}"/>
            </a:ext>
          </a:extLst>
        </xdr:cNvPr>
        <xdr:cNvSpPr/>
      </xdr:nvSpPr>
      <xdr:spPr>
        <a:xfrm>
          <a:off x="3489960" y="160020"/>
          <a:ext cx="8595360" cy="4892040"/>
        </a:xfrm>
        <a:prstGeom prst="roundRect">
          <a:avLst>
            <a:gd name="adj" fmla="val 4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22860</xdr:colOff>
      <xdr:row>12</xdr:row>
      <xdr:rowOff>15240</xdr:rowOff>
    </xdr:from>
    <xdr:to>
      <xdr:col>17</xdr:col>
      <xdr:colOff>388620</xdr:colOff>
      <xdr:row>26</xdr:row>
      <xdr:rowOff>106680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50A1EA2-DD4A-42B1-BFDE-4D0F0F79F860}"/>
            </a:ext>
          </a:extLst>
        </xdr:cNvPr>
        <xdr:cNvSpPr/>
      </xdr:nvSpPr>
      <xdr:spPr>
        <a:xfrm>
          <a:off x="3642360" y="2209800"/>
          <a:ext cx="8290560" cy="2651760"/>
        </a:xfrm>
        <a:prstGeom prst="roundRect">
          <a:avLst>
            <a:gd name="adj" fmla="val 4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251460</xdr:colOff>
      <xdr:row>1</xdr:row>
      <xdr:rowOff>83820</xdr:rowOff>
    </xdr:from>
    <xdr:to>
      <xdr:col>14</xdr:col>
      <xdr:colOff>167640</xdr:colOff>
      <xdr:row>5</xdr:row>
      <xdr:rowOff>30480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A366527-6C09-44EF-9C4B-9235EA4AC4AF}"/>
            </a:ext>
          </a:extLst>
        </xdr:cNvPr>
        <xdr:cNvSpPr/>
      </xdr:nvSpPr>
      <xdr:spPr>
        <a:xfrm>
          <a:off x="5699760" y="266700"/>
          <a:ext cx="4183380" cy="678180"/>
        </a:xfrm>
        <a:prstGeom prst="roundRect">
          <a:avLst>
            <a:gd name="adj" fmla="val 4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600" b="1"/>
            <a:t>DASHBOARD</a:t>
          </a:r>
        </a:p>
      </xdr:txBody>
    </xdr:sp>
    <xdr:clientData/>
  </xdr:twoCellAnchor>
  <xdr:twoCellAnchor>
    <xdr:from>
      <xdr:col>7</xdr:col>
      <xdr:colOff>266700</xdr:colOff>
      <xdr:row>6</xdr:row>
      <xdr:rowOff>83820</xdr:rowOff>
    </xdr:from>
    <xdr:to>
      <xdr:col>12</xdr:col>
      <xdr:colOff>144780</xdr:colOff>
      <xdr:row>10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D5CE320-4764-4ED3-8E40-9C8B063DC551}"/>
            </a:ext>
          </a:extLst>
        </xdr:cNvPr>
        <xdr:cNvSpPr/>
      </xdr:nvSpPr>
      <xdr:spPr>
        <a:xfrm>
          <a:off x="5715000" y="1181100"/>
          <a:ext cx="2926080" cy="762000"/>
        </a:xfrm>
        <a:prstGeom prst="roundRect">
          <a:avLst>
            <a:gd name="adj" fmla="val 4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Average</a:t>
          </a:r>
          <a:r>
            <a:rPr lang="en-IN" sz="1100" b="1" baseline="0"/>
            <a:t> Screen time</a:t>
          </a:r>
          <a:endParaRPr lang="en-IN" sz="1100" b="1"/>
        </a:p>
      </xdr:txBody>
    </xdr:sp>
    <xdr:clientData/>
  </xdr:twoCellAnchor>
  <xdr:twoCellAnchor>
    <xdr:from>
      <xdr:col>3</xdr:col>
      <xdr:colOff>563880</xdr:colOff>
      <xdr:row>6</xdr:row>
      <xdr:rowOff>99060</xdr:rowOff>
    </xdr:from>
    <xdr:to>
      <xdr:col>7</xdr:col>
      <xdr:colOff>144780</xdr:colOff>
      <xdr:row>10</xdr:row>
      <xdr:rowOff>106680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CDC1EC3-45DC-43D9-B4E7-B20431AB64BD}"/>
            </a:ext>
          </a:extLst>
        </xdr:cNvPr>
        <xdr:cNvSpPr/>
      </xdr:nvSpPr>
      <xdr:spPr>
        <a:xfrm>
          <a:off x="3573780" y="1196340"/>
          <a:ext cx="2019300" cy="739140"/>
        </a:xfrm>
        <a:prstGeom prst="roundRect">
          <a:avLst>
            <a:gd name="adj" fmla="val 4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Total Students</a:t>
          </a:r>
        </a:p>
      </xdr:txBody>
    </xdr:sp>
    <xdr:clientData/>
  </xdr:twoCellAnchor>
  <xdr:twoCellAnchor>
    <xdr:from>
      <xdr:col>4</xdr:col>
      <xdr:colOff>106680</xdr:colOff>
      <xdr:row>12</xdr:row>
      <xdr:rowOff>114300</xdr:rowOff>
    </xdr:from>
    <xdr:to>
      <xdr:col>9</xdr:col>
      <xdr:colOff>228600</xdr:colOff>
      <xdr:row>26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E9A873-F541-4FE1-950C-8B2BA98F0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327660</xdr:colOff>
      <xdr:row>12</xdr:row>
      <xdr:rowOff>129540</xdr:rowOff>
    </xdr:from>
    <xdr:to>
      <xdr:col>17</xdr:col>
      <xdr:colOff>312420</xdr:colOff>
      <xdr:row>26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FC5A544-1AB0-4FB3-A4A5-EAB95971A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342900</xdr:colOff>
      <xdr:row>7</xdr:row>
      <xdr:rowOff>45720</xdr:rowOff>
    </xdr:from>
    <xdr:to>
      <xdr:col>7</xdr:col>
      <xdr:colOff>53340</xdr:colOff>
      <xdr:row>9</xdr:row>
      <xdr:rowOff>160020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2E97D4C-F1C1-4392-8C1B-7EBEB92616D0}"/>
            </a:ext>
          </a:extLst>
        </xdr:cNvPr>
        <xdr:cNvSpPr/>
      </xdr:nvSpPr>
      <xdr:spPr>
        <a:xfrm>
          <a:off x="4572000" y="1325880"/>
          <a:ext cx="929640" cy="480060"/>
        </a:xfrm>
        <a:prstGeom prst="roundRect">
          <a:avLst>
            <a:gd name="adj" fmla="val 4375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>
              <a:solidFill>
                <a:schemeClr val="tx1"/>
              </a:solidFill>
            </a:rPr>
            <a:t>183</a:t>
          </a:r>
        </a:p>
      </xdr:txBody>
    </xdr:sp>
    <xdr:clientData/>
  </xdr:twoCellAnchor>
  <xdr:twoCellAnchor editAs="oneCell">
    <xdr:from>
      <xdr:col>3</xdr:col>
      <xdr:colOff>601980</xdr:colOff>
      <xdr:row>7</xdr:row>
      <xdr:rowOff>114300</xdr:rowOff>
    </xdr:from>
    <xdr:to>
      <xdr:col>5</xdr:col>
      <xdr:colOff>297180</xdr:colOff>
      <xdr:row>10</xdr:row>
      <xdr:rowOff>160020</xdr:rowOff>
    </xdr:to>
    <xdr:pic>
      <xdr:nvPicPr>
        <xdr:cNvPr id="13" name="Graphic 12" descr="Business Growth with solid fill">
          <a:extLst>
            <a:ext uri="{FF2B5EF4-FFF2-40B4-BE49-F238E27FC236}">
              <a16:creationId xmlns:a16="http://schemas.microsoft.com/office/drawing/2014/main" id="{51BA998B-F679-94F1-ABAA-F6E4B52A6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11880" y="1394460"/>
          <a:ext cx="914400" cy="594360"/>
        </a:xfrm>
        <a:prstGeom prst="rect">
          <a:avLst/>
        </a:prstGeom>
      </xdr:spPr>
    </xdr:pic>
    <xdr:clientData/>
  </xdr:twoCellAnchor>
  <xdr:twoCellAnchor>
    <xdr:from>
      <xdr:col>9</xdr:col>
      <xdr:colOff>327660</xdr:colOff>
      <xdr:row>7</xdr:row>
      <xdr:rowOff>121920</xdr:rowOff>
    </xdr:from>
    <xdr:to>
      <xdr:col>12</xdr:col>
      <xdr:colOff>76200</xdr:colOff>
      <xdr:row>10</xdr:row>
      <xdr:rowOff>15240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61A9FD4-D9E9-4BAF-B827-C09393404BEF}"/>
            </a:ext>
          </a:extLst>
        </xdr:cNvPr>
        <xdr:cNvSpPr/>
      </xdr:nvSpPr>
      <xdr:spPr>
        <a:xfrm>
          <a:off x="6995160" y="1402080"/>
          <a:ext cx="1577340" cy="441960"/>
        </a:xfrm>
        <a:prstGeom prst="roundRect">
          <a:avLst>
            <a:gd name="adj" fmla="val 437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chemeClr val="tx1"/>
              </a:solidFill>
            </a:rPr>
            <a:t>4.023076923</a:t>
          </a:r>
        </a:p>
      </xdr:txBody>
    </xdr:sp>
    <xdr:clientData/>
  </xdr:twoCellAnchor>
  <xdr:twoCellAnchor>
    <xdr:from>
      <xdr:col>12</xdr:col>
      <xdr:colOff>243840</xdr:colOff>
      <xdr:row>6</xdr:row>
      <xdr:rowOff>76200</xdr:rowOff>
    </xdr:from>
    <xdr:to>
      <xdr:col>17</xdr:col>
      <xdr:colOff>121920</xdr:colOff>
      <xdr:row>10</xdr:row>
      <xdr:rowOff>106680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1FDF979-F729-4932-A316-9DBBBFCE4887}"/>
            </a:ext>
          </a:extLst>
        </xdr:cNvPr>
        <xdr:cNvSpPr/>
      </xdr:nvSpPr>
      <xdr:spPr>
        <a:xfrm>
          <a:off x="8740140" y="1173480"/>
          <a:ext cx="2926080" cy="762000"/>
        </a:xfrm>
        <a:prstGeom prst="roundRect">
          <a:avLst>
            <a:gd name="adj" fmla="val 43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 of Test_Scores</a:t>
          </a:r>
          <a:r>
            <a:rPr lang="en-IN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14</xdr:col>
      <xdr:colOff>144780</xdr:colOff>
      <xdr:row>7</xdr:row>
      <xdr:rowOff>137160</xdr:rowOff>
    </xdr:from>
    <xdr:to>
      <xdr:col>17</xdr:col>
      <xdr:colOff>76200</xdr:colOff>
      <xdr:row>10</xdr:row>
      <xdr:rowOff>30480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38B88D57-FB76-422A-8ECD-9B989BDB76E5}"/>
            </a:ext>
          </a:extLst>
        </xdr:cNvPr>
        <xdr:cNvSpPr/>
      </xdr:nvSpPr>
      <xdr:spPr>
        <a:xfrm>
          <a:off x="9860280" y="1417320"/>
          <a:ext cx="1760220" cy="441960"/>
        </a:xfrm>
        <a:prstGeom prst="roundRect">
          <a:avLst>
            <a:gd name="adj" fmla="val 437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70.78901099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 editAs="oneCell">
    <xdr:from>
      <xdr:col>7</xdr:col>
      <xdr:colOff>472440</xdr:colOff>
      <xdr:row>7</xdr:row>
      <xdr:rowOff>76200</xdr:rowOff>
    </xdr:from>
    <xdr:to>
      <xdr:col>9</xdr:col>
      <xdr:colOff>53340</xdr:colOff>
      <xdr:row>10</xdr:row>
      <xdr:rowOff>152400</xdr:rowOff>
    </xdr:to>
    <xdr:pic>
      <xdr:nvPicPr>
        <xdr:cNvPr id="22" name="Graphic 21" descr="Monitor with solid fill">
          <a:extLst>
            <a:ext uri="{FF2B5EF4-FFF2-40B4-BE49-F238E27FC236}">
              <a16:creationId xmlns:a16="http://schemas.microsoft.com/office/drawing/2014/main" id="{630C04C0-FDE0-4B0D-32AD-9CBC7A149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920740" y="1356360"/>
          <a:ext cx="800100" cy="624840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7</xdr:row>
      <xdr:rowOff>38100</xdr:rowOff>
    </xdr:from>
    <xdr:to>
      <xdr:col>14</xdr:col>
      <xdr:colOff>53340</xdr:colOff>
      <xdr:row>10</xdr:row>
      <xdr:rowOff>68580</xdr:rowOff>
    </xdr:to>
    <xdr:pic>
      <xdr:nvPicPr>
        <xdr:cNvPr id="24" name="Graphic 23" descr="Employee badge with solid fill">
          <a:extLst>
            <a:ext uri="{FF2B5EF4-FFF2-40B4-BE49-F238E27FC236}">
              <a16:creationId xmlns:a16="http://schemas.microsoft.com/office/drawing/2014/main" id="{0709A8AB-6EBE-0BC1-6F36-C1151FB9B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854440" y="1318260"/>
          <a:ext cx="914400" cy="579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day%202%20student_screen_time_raw.csv.xlsx" TargetMode="External"/><Relationship Id="rId2" Type="http://schemas.openxmlformats.org/officeDocument/2006/relationships/externalLinkPath" Target="https://d.docs.live.net/562d1b7525992b3e/Documents/day%202%20student_screen_time_raw.csv.xlsx" TargetMode="External"/><Relationship Id="rId1" Type="http://schemas.openxmlformats.org/officeDocument/2006/relationships/externalLinkPath" Target="/562d1b7525992b3e/Documents/day%202%20student_screen_time_raw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day 2 student_screen_time_raw"/>
      <sheetName val="Sheet1"/>
    </sheetNames>
    <sheetDataSet>
      <sheetData sheetId="0" refreshError="1"/>
      <sheetData sheetId="1">
        <row r="1">
          <cell r="D1" t="str">
            <v>Screen_Time</v>
          </cell>
          <cell r="E1" t="str">
            <v>Test_Scores</v>
          </cell>
        </row>
        <row r="2">
          <cell r="D2">
            <v>2.7</v>
          </cell>
          <cell r="E2">
            <v>75</v>
          </cell>
        </row>
        <row r="3">
          <cell r="D3">
            <v>4</v>
          </cell>
          <cell r="E3">
            <v>68.099999999999994</v>
          </cell>
        </row>
        <row r="4">
          <cell r="D4">
            <v>4.3</v>
          </cell>
          <cell r="E4">
            <v>67.900000000000006</v>
          </cell>
        </row>
        <row r="5">
          <cell r="D5">
            <v>2.8</v>
          </cell>
          <cell r="E5">
            <v>47.2</v>
          </cell>
        </row>
        <row r="6">
          <cell r="D6">
            <v>4.4000000000000004</v>
          </cell>
          <cell r="E6">
            <v>71.5</v>
          </cell>
        </row>
        <row r="7">
          <cell r="D7">
            <v>6.7</v>
          </cell>
          <cell r="E7">
            <v>88</v>
          </cell>
        </row>
        <row r="8">
          <cell r="D8">
            <v>4.5999999999999996</v>
          </cell>
          <cell r="E8">
            <v>69.3</v>
          </cell>
        </row>
        <row r="9">
          <cell r="D9">
            <v>4.0999999999999996</v>
          </cell>
          <cell r="E9">
            <v>75.7</v>
          </cell>
        </row>
        <row r="10">
          <cell r="D10">
            <v>4.0999999999999996</v>
          </cell>
          <cell r="E10">
            <v>78.3</v>
          </cell>
        </row>
        <row r="11">
          <cell r="D11">
            <v>3.6</v>
          </cell>
          <cell r="E11">
            <v>52.5</v>
          </cell>
        </row>
        <row r="12">
          <cell r="D12">
            <v>5.8</v>
          </cell>
          <cell r="E12">
            <v>96.2</v>
          </cell>
        </row>
        <row r="13">
          <cell r="D13">
            <v>2</v>
          </cell>
          <cell r="E13">
            <v>74.900000000000006</v>
          </cell>
        </row>
        <row r="14">
          <cell r="D14">
            <v>1.6</v>
          </cell>
          <cell r="E14">
            <v>76.400000000000006</v>
          </cell>
        </row>
        <row r="15">
          <cell r="D15">
            <v>4.0999999999999996</v>
          </cell>
          <cell r="E15">
            <v>61.9</v>
          </cell>
        </row>
        <row r="16">
          <cell r="D16">
            <v>5.6</v>
          </cell>
          <cell r="E16">
            <v>88.5</v>
          </cell>
        </row>
        <row r="17">
          <cell r="D17">
            <v>4.4000000000000004</v>
          </cell>
          <cell r="E17">
            <v>72.7</v>
          </cell>
        </row>
        <row r="18">
          <cell r="D18">
            <v>4.7</v>
          </cell>
          <cell r="E18">
            <v>71.400000000000006</v>
          </cell>
        </row>
        <row r="19">
          <cell r="D19">
            <v>4.3</v>
          </cell>
          <cell r="E19">
            <v>77.599999999999994</v>
          </cell>
        </row>
        <row r="20">
          <cell r="D20">
            <v>5.2</v>
          </cell>
          <cell r="E20">
            <v>70.099999999999994</v>
          </cell>
        </row>
        <row r="21">
          <cell r="D21">
            <v>6</v>
          </cell>
          <cell r="E21">
            <v>78.8</v>
          </cell>
        </row>
        <row r="22">
          <cell r="D22">
            <v>2.6</v>
          </cell>
          <cell r="E22">
            <v>53.2</v>
          </cell>
        </row>
        <row r="23">
          <cell r="D23">
            <v>0.5</v>
          </cell>
          <cell r="E23">
            <v>62.5</v>
          </cell>
        </row>
        <row r="24">
          <cell r="D24">
            <v>3.5</v>
          </cell>
          <cell r="E24">
            <v>48.6</v>
          </cell>
        </row>
        <row r="25">
          <cell r="D25">
            <v>2.5</v>
          </cell>
          <cell r="E25">
            <v>90</v>
          </cell>
        </row>
        <row r="26">
          <cell r="D26">
            <v>5.2</v>
          </cell>
          <cell r="E26">
            <v>89.8</v>
          </cell>
        </row>
        <row r="27">
          <cell r="D27">
            <v>2.9</v>
          </cell>
          <cell r="E27">
            <v>76.3</v>
          </cell>
        </row>
        <row r="28">
          <cell r="D28">
            <v>1.2</v>
          </cell>
          <cell r="E28">
            <v>59.9</v>
          </cell>
        </row>
        <row r="29">
          <cell r="D29">
            <v>3.1</v>
          </cell>
          <cell r="E29">
            <v>93.9</v>
          </cell>
        </row>
        <row r="30">
          <cell r="D30">
            <v>1.8</v>
          </cell>
          <cell r="E30">
            <v>64</v>
          </cell>
        </row>
        <row r="31">
          <cell r="D31">
            <v>6.4</v>
          </cell>
          <cell r="E31">
            <v>67.900000000000006</v>
          </cell>
        </row>
        <row r="32">
          <cell r="D32">
            <v>4.7</v>
          </cell>
          <cell r="E32">
            <v>71.599999999999994</v>
          </cell>
        </row>
        <row r="33">
          <cell r="D33">
            <v>5</v>
          </cell>
          <cell r="E33">
            <v>74.5</v>
          </cell>
        </row>
        <row r="34">
          <cell r="D34">
            <v>4.8</v>
          </cell>
          <cell r="E34">
            <v>76.400000000000006</v>
          </cell>
        </row>
        <row r="35">
          <cell r="D35">
            <v>5.3</v>
          </cell>
          <cell r="E35">
            <v>76.8</v>
          </cell>
        </row>
        <row r="36">
          <cell r="D36">
            <v>3.2</v>
          </cell>
          <cell r="E36">
            <v>76.7</v>
          </cell>
        </row>
        <row r="37">
          <cell r="D37">
            <v>2.7</v>
          </cell>
          <cell r="E37">
            <v>75.8</v>
          </cell>
        </row>
        <row r="38">
          <cell r="D38">
            <v>0.2</v>
          </cell>
          <cell r="E38">
            <v>77.599999999999994</v>
          </cell>
        </row>
        <row r="39">
          <cell r="D39">
            <v>5.7</v>
          </cell>
          <cell r="E39">
            <v>76.400000000000006</v>
          </cell>
        </row>
        <row r="40">
          <cell r="D40">
            <v>1.2</v>
          </cell>
          <cell r="E40">
            <v>65.599999999999994</v>
          </cell>
        </row>
        <row r="41">
          <cell r="D41">
            <v>4.9000000000000004</v>
          </cell>
          <cell r="E41">
            <v>74.599999999999994</v>
          </cell>
        </row>
        <row r="42">
          <cell r="D42">
            <v>3.7</v>
          </cell>
          <cell r="E42">
            <v>76.5</v>
          </cell>
        </row>
        <row r="43">
          <cell r="D43">
            <v>4.4000000000000004</v>
          </cell>
          <cell r="E43">
            <v>57.1</v>
          </cell>
        </row>
        <row r="44">
          <cell r="D44">
            <v>3.3</v>
          </cell>
          <cell r="E44">
            <v>67.3</v>
          </cell>
        </row>
        <row r="45">
          <cell r="D45">
            <v>4.3</v>
          </cell>
          <cell r="E45">
            <v>76.099999999999994</v>
          </cell>
        </row>
        <row r="46">
          <cell r="D46">
            <v>3.3</v>
          </cell>
          <cell r="E46">
            <v>87.1</v>
          </cell>
        </row>
        <row r="47">
          <cell r="D47">
            <v>3.2</v>
          </cell>
          <cell r="E47">
            <v>78.2</v>
          </cell>
        </row>
        <row r="48">
          <cell r="D48">
            <v>2.7</v>
          </cell>
          <cell r="E48">
            <v>87.7</v>
          </cell>
        </row>
        <row r="49">
          <cell r="D49">
            <v>4.5999999999999996</v>
          </cell>
          <cell r="E49">
            <v>72.5</v>
          </cell>
        </row>
        <row r="50">
          <cell r="D50">
            <v>4.3</v>
          </cell>
          <cell r="E50">
            <v>78.099999999999994</v>
          </cell>
        </row>
        <row r="51">
          <cell r="D51">
            <v>2.7</v>
          </cell>
          <cell r="E51">
            <v>46.7</v>
          </cell>
        </row>
        <row r="52">
          <cell r="D52">
            <v>2.5</v>
          </cell>
          <cell r="E52">
            <v>51.4</v>
          </cell>
        </row>
        <row r="53">
          <cell r="D53">
            <v>3.3</v>
          </cell>
          <cell r="E53">
            <v>80</v>
          </cell>
        </row>
        <row r="54">
          <cell r="D54">
            <v>2.2000000000000002</v>
          </cell>
          <cell r="E54">
            <v>76.900000000000006</v>
          </cell>
        </row>
        <row r="55">
          <cell r="D55">
            <v>6.4</v>
          </cell>
          <cell r="E55">
            <v>46.6</v>
          </cell>
        </row>
        <row r="56">
          <cell r="D56">
            <v>2</v>
          </cell>
          <cell r="E56">
            <v>82.1</v>
          </cell>
        </row>
        <row r="57">
          <cell r="D57">
            <v>2.8</v>
          </cell>
          <cell r="E57">
            <v>61.2</v>
          </cell>
        </row>
        <row r="58">
          <cell r="D58">
            <v>3.3</v>
          </cell>
          <cell r="E58">
            <v>61.2</v>
          </cell>
        </row>
        <row r="59">
          <cell r="D59">
            <v>3.9</v>
          </cell>
          <cell r="E59">
            <v>75.099999999999994</v>
          </cell>
        </row>
        <row r="60">
          <cell r="D60">
            <v>3</v>
          </cell>
          <cell r="E60">
            <v>69.900000000000006</v>
          </cell>
        </row>
        <row r="61">
          <cell r="D61">
            <v>1.6</v>
          </cell>
          <cell r="E61">
            <v>80.5</v>
          </cell>
        </row>
        <row r="62">
          <cell r="D62">
            <v>1.7</v>
          </cell>
          <cell r="E62">
            <v>74.8</v>
          </cell>
        </row>
        <row r="63">
          <cell r="D63">
            <v>5</v>
          </cell>
          <cell r="E63">
            <v>85.8</v>
          </cell>
        </row>
        <row r="64">
          <cell r="D64">
            <v>3.8</v>
          </cell>
          <cell r="E64">
            <v>79.7</v>
          </cell>
        </row>
        <row r="65">
          <cell r="D65">
            <v>5</v>
          </cell>
          <cell r="E65">
            <v>77.2</v>
          </cell>
        </row>
        <row r="66">
          <cell r="D66">
            <v>5.2</v>
          </cell>
          <cell r="E66">
            <v>66.5</v>
          </cell>
        </row>
        <row r="67">
          <cell r="D67">
            <v>4.2</v>
          </cell>
          <cell r="E67">
            <v>65.7</v>
          </cell>
        </row>
        <row r="68">
          <cell r="D68">
            <v>2.2000000000000002</v>
          </cell>
          <cell r="E68">
            <v>69.5</v>
          </cell>
        </row>
        <row r="69">
          <cell r="D69">
            <v>4.3</v>
          </cell>
          <cell r="E69">
            <v>88.4</v>
          </cell>
        </row>
        <row r="70">
          <cell r="D70">
            <v>6.1</v>
          </cell>
          <cell r="E70">
            <v>65.900000000000006</v>
          </cell>
        </row>
        <row r="71">
          <cell r="D71">
            <v>3.3</v>
          </cell>
          <cell r="E71">
            <v>72.599999999999994</v>
          </cell>
        </row>
        <row r="72">
          <cell r="D72">
            <v>4.5</v>
          </cell>
          <cell r="E72">
            <v>47.6</v>
          </cell>
        </row>
        <row r="73">
          <cell r="D73">
            <v>4</v>
          </cell>
          <cell r="E73">
            <v>76.8</v>
          </cell>
        </row>
        <row r="74">
          <cell r="D74">
            <v>6.1</v>
          </cell>
          <cell r="E74">
            <v>92.6</v>
          </cell>
        </row>
        <row r="75">
          <cell r="D75">
            <v>3</v>
          </cell>
          <cell r="E75">
            <v>60.7</v>
          </cell>
        </row>
        <row r="76">
          <cell r="D76">
            <v>5.7</v>
          </cell>
          <cell r="E76">
            <v>100</v>
          </cell>
        </row>
        <row r="77">
          <cell r="D77">
            <v>3.4</v>
          </cell>
          <cell r="E77">
            <v>71.8</v>
          </cell>
        </row>
        <row r="78">
          <cell r="D78">
            <v>3</v>
          </cell>
          <cell r="E78">
            <v>44.3</v>
          </cell>
        </row>
        <row r="79">
          <cell r="D79">
            <v>4.2</v>
          </cell>
          <cell r="E79">
            <v>66.099999999999994</v>
          </cell>
        </row>
        <row r="80">
          <cell r="D80">
            <v>4.5</v>
          </cell>
          <cell r="E80">
            <v>83.3</v>
          </cell>
        </row>
        <row r="81">
          <cell r="D81">
            <v>4.5</v>
          </cell>
          <cell r="E81">
            <v>77.2</v>
          </cell>
        </row>
        <row r="82">
          <cell r="D82">
            <v>4.3</v>
          </cell>
          <cell r="E82">
            <v>85.7</v>
          </cell>
        </row>
        <row r="83">
          <cell r="D83">
            <v>6.4</v>
          </cell>
          <cell r="E83">
            <v>58.2</v>
          </cell>
        </row>
        <row r="84">
          <cell r="D84">
            <v>4.9000000000000004</v>
          </cell>
          <cell r="E84">
            <v>63.2</v>
          </cell>
        </row>
        <row r="85">
          <cell r="D85">
            <v>3</v>
          </cell>
          <cell r="E85">
            <v>53.2</v>
          </cell>
        </row>
        <row r="86">
          <cell r="D86">
            <v>6</v>
          </cell>
          <cell r="E86">
            <v>63.9</v>
          </cell>
        </row>
        <row r="87">
          <cell r="D87">
            <v>2.9</v>
          </cell>
          <cell r="E87">
            <v>77.599999999999994</v>
          </cell>
        </row>
        <row r="88">
          <cell r="D88">
            <v>3</v>
          </cell>
          <cell r="E88">
            <v>72.099999999999994</v>
          </cell>
        </row>
        <row r="89">
          <cell r="D89">
            <v>2.7</v>
          </cell>
          <cell r="E89">
            <v>78.7</v>
          </cell>
        </row>
        <row r="90">
          <cell r="D90">
            <v>2.6</v>
          </cell>
          <cell r="E90">
            <v>60.6</v>
          </cell>
        </row>
        <row r="91">
          <cell r="D91">
            <v>4.5</v>
          </cell>
          <cell r="E91">
            <v>61.2</v>
          </cell>
        </row>
        <row r="92">
          <cell r="D92">
            <v>3.6</v>
          </cell>
          <cell r="E92">
            <v>72</v>
          </cell>
        </row>
        <row r="93">
          <cell r="D93">
            <v>0</v>
          </cell>
          <cell r="E93">
            <v>64</v>
          </cell>
        </row>
        <row r="94">
          <cell r="D94">
            <v>3.2</v>
          </cell>
          <cell r="E94">
            <v>63.7</v>
          </cell>
        </row>
        <row r="95">
          <cell r="D95">
            <v>5.3</v>
          </cell>
          <cell r="E95">
            <v>65</v>
          </cell>
        </row>
        <row r="96">
          <cell r="D96">
            <v>3.2</v>
          </cell>
          <cell r="E96">
            <v>74.2</v>
          </cell>
        </row>
        <row r="97">
          <cell r="D97">
            <v>7.8</v>
          </cell>
          <cell r="E97">
            <v>66.099999999999994</v>
          </cell>
        </row>
        <row r="98">
          <cell r="D98">
            <v>6.1</v>
          </cell>
          <cell r="E98">
            <v>57.7</v>
          </cell>
        </row>
        <row r="99">
          <cell r="D99">
            <v>3.4</v>
          </cell>
          <cell r="E99">
            <v>59</v>
          </cell>
        </row>
        <row r="100">
          <cell r="D100">
            <v>5.7</v>
          </cell>
          <cell r="E100">
            <v>75.400000000000006</v>
          </cell>
        </row>
        <row r="101">
          <cell r="D101">
            <v>4.4000000000000004</v>
          </cell>
          <cell r="E101">
            <v>84</v>
          </cell>
        </row>
        <row r="102">
          <cell r="D102">
            <v>5.2</v>
          </cell>
          <cell r="E102">
            <v>63.1</v>
          </cell>
        </row>
        <row r="103">
          <cell r="D103">
            <v>4.0999999999999996</v>
          </cell>
          <cell r="E103">
            <v>76.2</v>
          </cell>
        </row>
        <row r="104">
          <cell r="D104">
            <v>4.4000000000000004</v>
          </cell>
          <cell r="E104">
            <v>63.7</v>
          </cell>
        </row>
        <row r="105">
          <cell r="D105">
            <v>5.2</v>
          </cell>
          <cell r="E105">
            <v>60.8</v>
          </cell>
        </row>
        <row r="106">
          <cell r="D106">
            <v>7.1</v>
          </cell>
          <cell r="E106">
            <v>72.5</v>
          </cell>
        </row>
        <row r="107">
          <cell r="D107">
            <v>4.4000000000000004</v>
          </cell>
          <cell r="E107">
            <v>80.5</v>
          </cell>
        </row>
        <row r="108">
          <cell r="D108">
            <v>3.3</v>
          </cell>
          <cell r="E108">
            <v>67.5</v>
          </cell>
        </row>
        <row r="109">
          <cell r="D109">
            <v>1</v>
          </cell>
          <cell r="E109">
            <v>69.3</v>
          </cell>
        </row>
        <row r="110">
          <cell r="D110">
            <v>6.9</v>
          </cell>
          <cell r="E110">
            <v>78.099999999999994</v>
          </cell>
        </row>
        <row r="111">
          <cell r="D111">
            <v>3.6</v>
          </cell>
          <cell r="E111">
            <v>78.400000000000006</v>
          </cell>
        </row>
        <row r="112">
          <cell r="D112">
            <v>4.8</v>
          </cell>
          <cell r="E112">
            <v>69.599999999999994</v>
          </cell>
        </row>
        <row r="113">
          <cell r="D113">
            <v>6.9</v>
          </cell>
          <cell r="E113">
            <v>65.599999999999994</v>
          </cell>
        </row>
        <row r="114">
          <cell r="D114">
            <v>4.3</v>
          </cell>
          <cell r="E114">
            <v>70.8</v>
          </cell>
        </row>
        <row r="115">
          <cell r="D115">
            <v>3.7</v>
          </cell>
          <cell r="E115">
            <v>68.099999999999994</v>
          </cell>
        </row>
        <row r="116">
          <cell r="D116">
            <v>6.1</v>
          </cell>
          <cell r="E116">
            <v>73.099999999999994</v>
          </cell>
        </row>
        <row r="117">
          <cell r="D117">
            <v>4.7</v>
          </cell>
          <cell r="E117">
            <v>58.1</v>
          </cell>
        </row>
        <row r="118">
          <cell r="D118">
            <v>4.9000000000000004</v>
          </cell>
          <cell r="E118">
            <v>72.8</v>
          </cell>
        </row>
        <row r="119">
          <cell r="D119">
            <v>1.7</v>
          </cell>
          <cell r="E119">
            <v>62.8</v>
          </cell>
        </row>
        <row r="120">
          <cell r="D120">
            <v>5.8</v>
          </cell>
          <cell r="E120">
            <v>79.099999999999994</v>
          </cell>
        </row>
        <row r="121">
          <cell r="D121">
            <v>4.5999999999999996</v>
          </cell>
          <cell r="E121">
            <v>63.3</v>
          </cell>
        </row>
        <row r="122">
          <cell r="D122">
            <v>1.9</v>
          </cell>
          <cell r="E122">
            <v>63.4</v>
          </cell>
        </row>
        <row r="123">
          <cell r="D123">
            <v>0.9</v>
          </cell>
          <cell r="E123">
            <v>70.099999999999994</v>
          </cell>
        </row>
        <row r="124">
          <cell r="D124">
            <v>7.5</v>
          </cell>
          <cell r="E124">
            <v>92.8</v>
          </cell>
        </row>
        <row r="125">
          <cell r="D125">
            <v>6.4</v>
          </cell>
          <cell r="E125">
            <v>71.099999999999994</v>
          </cell>
        </row>
        <row r="126">
          <cell r="D126">
            <v>2.8</v>
          </cell>
          <cell r="E126">
            <v>81.3</v>
          </cell>
        </row>
        <row r="127">
          <cell r="D127">
            <v>4.8</v>
          </cell>
          <cell r="E127">
            <v>64.2</v>
          </cell>
        </row>
        <row r="128">
          <cell r="D128">
            <v>2.6</v>
          </cell>
          <cell r="E128">
            <v>60.9</v>
          </cell>
        </row>
        <row r="129">
          <cell r="D129">
            <v>5.5</v>
          </cell>
          <cell r="E129">
            <v>61.3</v>
          </cell>
        </row>
        <row r="130">
          <cell r="D130">
            <v>3.6</v>
          </cell>
          <cell r="E130">
            <v>53.9</v>
          </cell>
        </row>
        <row r="131">
          <cell r="D131">
            <v>4.7</v>
          </cell>
          <cell r="E131">
            <v>83.5</v>
          </cell>
        </row>
        <row r="132">
          <cell r="D132">
            <v>4</v>
          </cell>
          <cell r="E132">
            <v>66.7</v>
          </cell>
        </row>
        <row r="133">
          <cell r="D133">
            <v>2</v>
          </cell>
          <cell r="E133">
            <v>65.5</v>
          </cell>
        </row>
        <row r="134">
          <cell r="D134">
            <v>4.8</v>
          </cell>
          <cell r="E134">
            <v>48.8</v>
          </cell>
        </row>
        <row r="135">
          <cell r="D135">
            <v>3.2</v>
          </cell>
          <cell r="E135">
            <v>55.7</v>
          </cell>
        </row>
        <row r="136">
          <cell r="D136">
            <v>5.6</v>
          </cell>
          <cell r="E136">
            <v>84.7</v>
          </cell>
        </row>
        <row r="137">
          <cell r="D137">
            <v>3.6</v>
          </cell>
          <cell r="E137">
            <v>73</v>
          </cell>
        </row>
        <row r="138">
          <cell r="D138">
            <v>3.9</v>
          </cell>
          <cell r="E138">
            <v>81.7</v>
          </cell>
        </row>
        <row r="139">
          <cell r="D139">
            <v>6.5</v>
          </cell>
          <cell r="E139">
            <v>80.400000000000006</v>
          </cell>
        </row>
        <row r="140">
          <cell r="D140">
            <v>7.6</v>
          </cell>
          <cell r="E140">
            <v>60</v>
          </cell>
        </row>
        <row r="141">
          <cell r="D141">
            <v>5.2</v>
          </cell>
          <cell r="E141">
            <v>94.3</v>
          </cell>
        </row>
        <row r="142">
          <cell r="D142">
            <v>3.6</v>
          </cell>
          <cell r="E142">
            <v>89.5</v>
          </cell>
        </row>
        <row r="143">
          <cell r="D143">
            <v>3.4</v>
          </cell>
          <cell r="E143">
            <v>64.400000000000006</v>
          </cell>
        </row>
        <row r="144">
          <cell r="D144">
            <v>2.8</v>
          </cell>
          <cell r="E144">
            <v>34.299999999999997</v>
          </cell>
        </row>
        <row r="145">
          <cell r="D145">
            <v>3.1</v>
          </cell>
          <cell r="E145">
            <v>66.400000000000006</v>
          </cell>
        </row>
        <row r="146">
          <cell r="D146">
            <v>3.6</v>
          </cell>
          <cell r="E146">
            <v>72.400000000000006</v>
          </cell>
        </row>
        <row r="147">
          <cell r="D147">
            <v>6.9</v>
          </cell>
          <cell r="E147">
            <v>64.3</v>
          </cell>
        </row>
        <row r="148">
          <cell r="D148">
            <v>3.7</v>
          </cell>
          <cell r="E148">
            <v>67.8</v>
          </cell>
        </row>
        <row r="149">
          <cell r="D149">
            <v>2.2000000000000002</v>
          </cell>
          <cell r="E149">
            <v>61.7</v>
          </cell>
        </row>
        <row r="150">
          <cell r="D150">
            <v>4.0999999999999996</v>
          </cell>
          <cell r="E150">
            <v>79.2</v>
          </cell>
        </row>
        <row r="151">
          <cell r="D151">
            <v>4.3</v>
          </cell>
          <cell r="E151">
            <v>70.599999999999994</v>
          </cell>
        </row>
        <row r="152">
          <cell r="D152">
            <v>4.0999999999999996</v>
          </cell>
          <cell r="E152">
            <v>79.5</v>
          </cell>
        </row>
        <row r="153">
          <cell r="D153">
            <v>5.2</v>
          </cell>
          <cell r="E153">
            <v>82.2</v>
          </cell>
        </row>
        <row r="154">
          <cell r="D154">
            <v>4.0999999999999996</v>
          </cell>
          <cell r="E154">
            <v>48.3</v>
          </cell>
        </row>
        <row r="155">
          <cell r="D155">
            <v>5.2</v>
          </cell>
          <cell r="E155">
            <v>62.3</v>
          </cell>
        </row>
        <row r="156">
          <cell r="D156">
            <v>2.8</v>
          </cell>
          <cell r="E156">
            <v>63.8</v>
          </cell>
        </row>
        <row r="157">
          <cell r="D157">
            <v>4.4000000000000004</v>
          </cell>
          <cell r="E157">
            <v>71.5</v>
          </cell>
        </row>
        <row r="158">
          <cell r="D158">
            <v>2.8</v>
          </cell>
          <cell r="E158">
            <v>51.2</v>
          </cell>
        </row>
        <row r="159">
          <cell r="D159">
            <v>4.7</v>
          </cell>
          <cell r="E159">
            <v>71.400000000000006</v>
          </cell>
        </row>
        <row r="160">
          <cell r="D160">
            <v>5</v>
          </cell>
          <cell r="E160">
            <v>79.8</v>
          </cell>
        </row>
        <row r="161">
          <cell r="D161">
            <v>2.2000000000000002</v>
          </cell>
          <cell r="E161">
            <v>78.599999999999994</v>
          </cell>
        </row>
        <row r="162">
          <cell r="D162">
            <v>1.5</v>
          </cell>
          <cell r="E162">
            <v>76.2</v>
          </cell>
        </row>
        <row r="163">
          <cell r="D163">
            <v>4.4000000000000004</v>
          </cell>
          <cell r="E163">
            <v>70.099999999999994</v>
          </cell>
        </row>
        <row r="164">
          <cell r="D164">
            <v>3.3</v>
          </cell>
          <cell r="E164">
            <v>70.599999999999994</v>
          </cell>
        </row>
        <row r="165">
          <cell r="D165">
            <v>4.4000000000000004</v>
          </cell>
          <cell r="E165">
            <v>53.1</v>
          </cell>
        </row>
        <row r="166">
          <cell r="D166">
            <v>2.1</v>
          </cell>
          <cell r="E166">
            <v>61</v>
          </cell>
        </row>
        <row r="167">
          <cell r="D167">
            <v>1.7</v>
          </cell>
          <cell r="E167">
            <v>72.3</v>
          </cell>
        </row>
        <row r="168">
          <cell r="D168">
            <v>4.3</v>
          </cell>
          <cell r="E168">
            <v>62.8</v>
          </cell>
        </row>
        <row r="169">
          <cell r="D169">
            <v>3.5</v>
          </cell>
          <cell r="E169">
            <v>76.900000000000006</v>
          </cell>
        </row>
        <row r="170">
          <cell r="D170">
            <v>6</v>
          </cell>
          <cell r="E170">
            <v>83.7</v>
          </cell>
        </row>
        <row r="171">
          <cell r="D171">
            <v>2</v>
          </cell>
          <cell r="E171">
            <v>79.599999999999994</v>
          </cell>
        </row>
        <row r="172">
          <cell r="D172">
            <v>7.9</v>
          </cell>
          <cell r="E172">
            <v>72.3</v>
          </cell>
        </row>
        <row r="173">
          <cell r="D173">
            <v>3.1</v>
          </cell>
          <cell r="E173">
            <v>77.5</v>
          </cell>
        </row>
        <row r="174">
          <cell r="D174">
            <v>4.5999999999999996</v>
          </cell>
          <cell r="E174">
            <v>80.099999999999994</v>
          </cell>
        </row>
        <row r="175">
          <cell r="D175">
            <v>6.5</v>
          </cell>
          <cell r="E175">
            <v>64.900000000000006</v>
          </cell>
        </row>
        <row r="176">
          <cell r="D176">
            <v>6.2</v>
          </cell>
          <cell r="E176">
            <v>66.7</v>
          </cell>
        </row>
        <row r="177">
          <cell r="D177">
            <v>7</v>
          </cell>
          <cell r="E177">
            <v>69</v>
          </cell>
        </row>
        <row r="178">
          <cell r="D178">
            <v>1.7</v>
          </cell>
          <cell r="E178">
            <v>65.2</v>
          </cell>
        </row>
        <row r="179">
          <cell r="D179">
            <v>2.2999999999999998</v>
          </cell>
          <cell r="E179">
            <v>80.2</v>
          </cell>
        </row>
        <row r="180">
          <cell r="D180">
            <v>4.3</v>
          </cell>
          <cell r="E180">
            <v>63.7</v>
          </cell>
        </row>
        <row r="181">
          <cell r="D181">
            <v>5.3</v>
          </cell>
          <cell r="E181">
            <v>82.5</v>
          </cell>
        </row>
        <row r="182">
          <cell r="D182">
            <v>4</v>
          </cell>
          <cell r="E182">
            <v>66.3</v>
          </cell>
        </row>
        <row r="183">
          <cell r="D183">
            <v>1.5</v>
          </cell>
          <cell r="E183">
            <v>74.7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562d1b7525992b3e/Documents/day%202%20student_screen_time_raw.csv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 kumar" refreshedDate="46098.826153125003" createdVersion="8" refreshedVersion="8" minRefreshableVersion="3" recordCount="182" xr:uid="{81EB0AD9-C29E-4453-9846-50B94F6BD14E}">
  <cacheSource type="worksheet">
    <worksheetSource ref="A1:K183" sheet="day 2 student_screen_time_raw" r:id="rId2"/>
  </cacheSource>
  <cacheFields count="11">
    <cacheField name="Student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3" maxValue="17"/>
    </cacheField>
    <cacheField name="Study_Hours" numFmtId="0">
      <sharedItems containsSemiMixedTypes="0" containsString="0" containsNumber="1" minValue="0.2" maxValue="5.8"/>
    </cacheField>
    <cacheField name="Screen_Time" numFmtId="0">
      <sharedItems containsSemiMixedTypes="0" containsString="0" containsNumber="1" minValue="0" maxValue="7.9"/>
    </cacheField>
    <cacheField name="Test_Scores" numFmtId="0">
      <sharedItems containsSemiMixedTypes="0" containsString="0" containsNumber="1" minValue="34.299999999999997" maxValue="100"/>
    </cacheField>
    <cacheField name="Extra_Curricular_Hours" numFmtId="0">
      <sharedItems containsSemiMixedTypes="0" containsString="0" containsNumber="1" minValue="0" maxValue="3.7"/>
    </cacheField>
    <cacheField name="Study Level" numFmtId="0">
      <sharedItems count="2">
        <s v="Normal"/>
        <s v="High screen Time"/>
      </sharedItems>
    </cacheField>
    <cacheField name="Performance" numFmtId="0">
      <sharedItems count="4">
        <s v="Good"/>
        <s v="Average"/>
        <s v="Excellent"/>
        <s v="Poor"/>
      </sharedItems>
    </cacheField>
    <cacheField name="Study_Efficiency" numFmtId="0">
      <sharedItems containsSemiMixedTypes="0" containsString="0" containsNumber="1" minValue="9.5277777777777768" maxValue="347.5"/>
    </cacheField>
    <cacheField name="Efficiency Level" numFmtId="0">
      <sharedItems count="4">
        <s v="Highly Efficient"/>
        <s v="High"/>
        <s v="Moderate"/>
        <s v="Low"/>
      </sharedItems>
    </cacheField>
    <cacheField name="Age_group" numFmtId="0">
      <sharedItems count="2">
        <s v="Young"/>
        <s v="seni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1"/>
    <n v="16"/>
    <n v="2.5"/>
    <n v="2.7"/>
    <n v="75"/>
    <n v="1.6"/>
    <x v="0"/>
    <x v="0"/>
    <n v="30"/>
    <x v="0"/>
    <x v="0"/>
  </r>
  <r>
    <n v="2"/>
    <n v="17"/>
    <n v="2.7"/>
    <n v="4"/>
    <n v="68.099999999999994"/>
    <n v="0.7"/>
    <x v="0"/>
    <x v="0"/>
    <n v="25.222222222222218"/>
    <x v="0"/>
    <x v="0"/>
  </r>
  <r>
    <n v="3"/>
    <n v="15"/>
    <n v="3"/>
    <n v="4.3"/>
    <n v="67.900000000000006"/>
    <n v="1.5"/>
    <x v="0"/>
    <x v="0"/>
    <n v="22.633333333333336"/>
    <x v="1"/>
    <x v="0"/>
  </r>
  <r>
    <n v="4"/>
    <n v="17"/>
    <n v="3"/>
    <n v="2.8"/>
    <n v="47.2"/>
    <n v="1.8"/>
    <x v="0"/>
    <x v="1"/>
    <n v="15.733333333333334"/>
    <x v="2"/>
    <x v="0"/>
  </r>
  <r>
    <n v="6"/>
    <n v="14"/>
    <n v="1.3"/>
    <n v="4.4000000000000004"/>
    <n v="71.5"/>
    <n v="0.4"/>
    <x v="0"/>
    <x v="0"/>
    <n v="55"/>
    <x v="0"/>
    <x v="1"/>
  </r>
  <r>
    <n v="7"/>
    <n v="15"/>
    <n v="3.3"/>
    <n v="6.7"/>
    <n v="88"/>
    <n v="2.9"/>
    <x v="0"/>
    <x v="2"/>
    <n v="26.666666666666668"/>
    <x v="0"/>
    <x v="0"/>
  </r>
  <r>
    <n v="8"/>
    <n v="15"/>
    <n v="2.9"/>
    <n v="4.5999999999999996"/>
    <n v="69.3"/>
    <n v="1.6"/>
    <x v="0"/>
    <x v="0"/>
    <n v="23.896551724137932"/>
    <x v="1"/>
    <x v="0"/>
  </r>
  <r>
    <n v="9"/>
    <n v="15"/>
    <n v="1.4"/>
    <n v="4.0999999999999996"/>
    <n v="75.7"/>
    <n v="0.9"/>
    <x v="0"/>
    <x v="0"/>
    <n v="54.071428571428577"/>
    <x v="0"/>
    <x v="0"/>
  </r>
  <r>
    <n v="10"/>
    <n v="17"/>
    <n v="1.8"/>
    <n v="4.0999999999999996"/>
    <n v="78.3"/>
    <n v="2.8"/>
    <x v="0"/>
    <x v="0"/>
    <n v="43.5"/>
    <x v="0"/>
    <x v="0"/>
  </r>
  <r>
    <n v="11"/>
    <n v="16"/>
    <n v="3.4"/>
    <n v="3.6"/>
    <n v="52.5"/>
    <n v="2"/>
    <x v="0"/>
    <x v="1"/>
    <n v="15.441176470588236"/>
    <x v="2"/>
    <x v="0"/>
  </r>
  <r>
    <n v="12"/>
    <n v="15"/>
    <n v="3.1"/>
    <n v="5.8"/>
    <n v="96.2"/>
    <n v="0.5"/>
    <x v="0"/>
    <x v="2"/>
    <n v="31.032258064516128"/>
    <x v="0"/>
    <x v="0"/>
  </r>
  <r>
    <n v="14"/>
    <n v="14"/>
    <n v="2.2000000000000002"/>
    <n v="2"/>
    <n v="74.900000000000006"/>
    <n v="1.3"/>
    <x v="0"/>
    <x v="0"/>
    <n v="34.045454545454547"/>
    <x v="0"/>
    <x v="1"/>
  </r>
  <r>
    <n v="15"/>
    <n v="16"/>
    <n v="2.4"/>
    <n v="1.6"/>
    <n v="76.400000000000006"/>
    <n v="1.7"/>
    <x v="0"/>
    <x v="0"/>
    <n v="31.833333333333336"/>
    <x v="0"/>
    <x v="0"/>
  </r>
  <r>
    <n v="16"/>
    <n v="14"/>
    <n v="3.1"/>
    <n v="4.0999999999999996"/>
    <n v="61.9"/>
    <n v="2"/>
    <x v="0"/>
    <x v="0"/>
    <n v="19.967741935483868"/>
    <x v="2"/>
    <x v="1"/>
  </r>
  <r>
    <n v="17"/>
    <n v="16"/>
    <n v="3.7"/>
    <n v="5.6"/>
    <n v="88.5"/>
    <n v="2.2999999999999998"/>
    <x v="0"/>
    <x v="2"/>
    <n v="23.918918918918919"/>
    <x v="1"/>
    <x v="0"/>
  </r>
  <r>
    <n v="18"/>
    <n v="17"/>
    <n v="2.6"/>
    <n v="4.4000000000000004"/>
    <n v="72.7"/>
    <n v="1.9"/>
    <x v="0"/>
    <x v="0"/>
    <n v="27.961538461538463"/>
    <x v="0"/>
    <x v="0"/>
  </r>
  <r>
    <n v="20"/>
    <n v="16"/>
    <n v="3.4"/>
    <n v="4.7"/>
    <n v="71.400000000000006"/>
    <n v="1.6"/>
    <x v="0"/>
    <x v="0"/>
    <n v="21.000000000000004"/>
    <x v="1"/>
    <x v="0"/>
  </r>
  <r>
    <n v="21"/>
    <n v="14"/>
    <n v="2.7"/>
    <n v="4.3"/>
    <n v="77.599999999999994"/>
    <n v="0.9"/>
    <x v="0"/>
    <x v="0"/>
    <n v="28.740740740740737"/>
    <x v="0"/>
    <x v="1"/>
  </r>
  <r>
    <n v="22"/>
    <n v="17"/>
    <n v="1.1000000000000001"/>
    <n v="5.2"/>
    <n v="70.099999999999994"/>
    <n v="1.5"/>
    <x v="0"/>
    <x v="0"/>
    <n v="63.72727272727272"/>
    <x v="0"/>
    <x v="0"/>
  </r>
  <r>
    <n v="23"/>
    <n v="16"/>
    <n v="1.5"/>
    <n v="6"/>
    <n v="78.8"/>
    <n v="1.4"/>
    <x v="0"/>
    <x v="0"/>
    <n v="52.533333333333331"/>
    <x v="0"/>
    <x v="0"/>
  </r>
  <r>
    <n v="24"/>
    <n v="13"/>
    <n v="3.2"/>
    <n v="2.6"/>
    <n v="53.2"/>
    <n v="0"/>
    <x v="0"/>
    <x v="1"/>
    <n v="16.625"/>
    <x v="2"/>
    <x v="1"/>
  </r>
  <r>
    <n v="25"/>
    <n v="13"/>
    <n v="0.8"/>
    <n v="0.5"/>
    <n v="62.5"/>
    <n v="1.1000000000000001"/>
    <x v="0"/>
    <x v="0"/>
    <n v="78.125"/>
    <x v="0"/>
    <x v="1"/>
  </r>
  <r>
    <n v="26"/>
    <n v="15"/>
    <n v="2.6"/>
    <n v="3.5"/>
    <n v="48.6"/>
    <n v="1.8"/>
    <x v="0"/>
    <x v="1"/>
    <n v="18.692307692307693"/>
    <x v="2"/>
    <x v="0"/>
  </r>
  <r>
    <n v="27"/>
    <n v="15"/>
    <n v="3.5"/>
    <n v="2.5"/>
    <n v="90"/>
    <n v="1.2"/>
    <x v="0"/>
    <x v="2"/>
    <n v="25.714285714285715"/>
    <x v="0"/>
    <x v="0"/>
  </r>
  <r>
    <n v="28"/>
    <n v="14"/>
    <n v="2.7"/>
    <n v="5.2"/>
    <n v="89.8"/>
    <n v="1"/>
    <x v="0"/>
    <x v="2"/>
    <n v="33.25925925925926"/>
    <x v="0"/>
    <x v="1"/>
  </r>
  <r>
    <n v="29"/>
    <n v="16"/>
    <n v="1.9"/>
    <n v="2.9"/>
    <n v="76.3"/>
    <n v="2.2000000000000002"/>
    <x v="0"/>
    <x v="0"/>
    <n v="40.157894736842103"/>
    <x v="0"/>
    <x v="0"/>
  </r>
  <r>
    <n v="30"/>
    <n v="16"/>
    <n v="1.7"/>
    <n v="1.2"/>
    <n v="59.9"/>
    <n v="0.8"/>
    <x v="0"/>
    <x v="1"/>
    <n v="35.235294117647058"/>
    <x v="0"/>
    <x v="0"/>
  </r>
  <r>
    <n v="31"/>
    <n v="15"/>
    <n v="3.3"/>
    <n v="3.1"/>
    <n v="93.9"/>
    <n v="2.1"/>
    <x v="0"/>
    <x v="2"/>
    <n v="28.454545454545457"/>
    <x v="0"/>
    <x v="0"/>
  </r>
  <r>
    <n v="32"/>
    <n v="16"/>
    <n v="3"/>
    <n v="1.8"/>
    <n v="64"/>
    <n v="0.4"/>
    <x v="0"/>
    <x v="0"/>
    <n v="21.333333333333332"/>
    <x v="1"/>
    <x v="0"/>
  </r>
  <r>
    <n v="33"/>
    <n v="16"/>
    <n v="2.2000000000000002"/>
    <n v="6.4"/>
    <n v="67.900000000000006"/>
    <n v="3.7"/>
    <x v="0"/>
    <x v="0"/>
    <n v="30.863636363636363"/>
    <x v="0"/>
    <x v="0"/>
  </r>
  <r>
    <n v="34"/>
    <n v="13"/>
    <n v="3.6"/>
    <n v="4.7"/>
    <n v="71.599999999999994"/>
    <n v="1.3"/>
    <x v="0"/>
    <x v="0"/>
    <n v="19.888888888888886"/>
    <x v="2"/>
    <x v="1"/>
  </r>
  <r>
    <n v="35"/>
    <n v="15"/>
    <n v="3.4"/>
    <n v="5"/>
    <n v="74.5"/>
    <n v="1.2"/>
    <x v="0"/>
    <x v="0"/>
    <n v="21.911764705882355"/>
    <x v="1"/>
    <x v="0"/>
  </r>
  <r>
    <n v="36"/>
    <n v="17"/>
    <n v="4.3"/>
    <n v="4.8"/>
    <n v="76.400000000000006"/>
    <n v="2.4"/>
    <x v="1"/>
    <x v="0"/>
    <n v="17.767441860465119"/>
    <x v="2"/>
    <x v="0"/>
  </r>
  <r>
    <n v="37"/>
    <n v="15"/>
    <n v="3.1"/>
    <n v="5.3"/>
    <n v="76.8"/>
    <n v="1.2"/>
    <x v="0"/>
    <x v="0"/>
    <n v="24.774193548387096"/>
    <x v="1"/>
    <x v="0"/>
  </r>
  <r>
    <n v="39"/>
    <n v="13"/>
    <n v="2.4"/>
    <n v="3.2"/>
    <n v="76.7"/>
    <n v="1.8"/>
    <x v="0"/>
    <x v="0"/>
    <n v="31.958333333333336"/>
    <x v="0"/>
    <x v="1"/>
  </r>
  <r>
    <n v="41"/>
    <n v="16"/>
    <n v="2.7"/>
    <n v="2.7"/>
    <n v="75.8"/>
    <n v="1.3"/>
    <x v="0"/>
    <x v="0"/>
    <n v="28.074074074074073"/>
    <x v="0"/>
    <x v="0"/>
  </r>
  <r>
    <n v="43"/>
    <n v="16"/>
    <n v="1.2"/>
    <n v="0.2"/>
    <n v="77.599999999999994"/>
    <n v="1.7"/>
    <x v="0"/>
    <x v="0"/>
    <n v="64.666666666666671"/>
    <x v="0"/>
    <x v="0"/>
  </r>
  <r>
    <n v="44"/>
    <n v="14"/>
    <n v="2.5"/>
    <n v="5.7"/>
    <n v="76.400000000000006"/>
    <n v="1.8"/>
    <x v="0"/>
    <x v="0"/>
    <n v="30.560000000000002"/>
    <x v="0"/>
    <x v="1"/>
  </r>
  <r>
    <n v="45"/>
    <n v="14"/>
    <n v="3.8"/>
    <n v="1.2"/>
    <n v="65.599999999999994"/>
    <n v="1.9"/>
    <x v="0"/>
    <x v="0"/>
    <n v="17.263157894736842"/>
    <x v="2"/>
    <x v="1"/>
  </r>
  <r>
    <n v="46"/>
    <n v="13"/>
    <n v="1.8"/>
    <n v="4.9000000000000004"/>
    <n v="74.599999999999994"/>
    <n v="1.6"/>
    <x v="0"/>
    <x v="0"/>
    <n v="41.444444444444443"/>
    <x v="0"/>
    <x v="1"/>
  </r>
  <r>
    <n v="47"/>
    <n v="14"/>
    <n v="1.5"/>
    <n v="3.7"/>
    <n v="76.5"/>
    <n v="1.9"/>
    <x v="0"/>
    <x v="0"/>
    <n v="51"/>
    <x v="0"/>
    <x v="1"/>
  </r>
  <r>
    <n v="48"/>
    <n v="17"/>
    <n v="3.6"/>
    <n v="4.4000000000000004"/>
    <n v="57.1"/>
    <n v="1.4"/>
    <x v="0"/>
    <x v="1"/>
    <n v="15.861111111111111"/>
    <x v="2"/>
    <x v="0"/>
  </r>
  <r>
    <n v="49"/>
    <n v="14"/>
    <n v="3.1"/>
    <n v="3.3"/>
    <n v="67.3"/>
    <n v="1.5"/>
    <x v="0"/>
    <x v="0"/>
    <n v="21.709677419354836"/>
    <x v="1"/>
    <x v="1"/>
  </r>
  <r>
    <n v="50"/>
    <n v="16"/>
    <n v="5.6"/>
    <n v="4.3"/>
    <n v="76.099999999999994"/>
    <n v="0.6"/>
    <x v="1"/>
    <x v="0"/>
    <n v="13.589285714285714"/>
    <x v="3"/>
    <x v="0"/>
  </r>
  <r>
    <n v="51"/>
    <n v="16"/>
    <n v="1.2"/>
    <n v="3.3"/>
    <n v="87.1"/>
    <n v="1.7"/>
    <x v="0"/>
    <x v="2"/>
    <n v="72.583333333333329"/>
    <x v="0"/>
    <x v="0"/>
  </r>
  <r>
    <n v="52"/>
    <n v="16"/>
    <n v="3.2"/>
    <n v="3.2"/>
    <n v="78.2"/>
    <n v="0.1"/>
    <x v="0"/>
    <x v="0"/>
    <n v="24.4375"/>
    <x v="1"/>
    <x v="0"/>
  </r>
  <r>
    <n v="53"/>
    <n v="16"/>
    <n v="2.8"/>
    <n v="2.7"/>
    <n v="87.7"/>
    <n v="1.7"/>
    <x v="0"/>
    <x v="2"/>
    <n v="31.321428571428573"/>
    <x v="0"/>
    <x v="0"/>
  </r>
  <r>
    <n v="55"/>
    <n v="15"/>
    <n v="3.4"/>
    <n v="4.5999999999999996"/>
    <n v="72.5"/>
    <n v="1.8"/>
    <x v="0"/>
    <x v="0"/>
    <n v="21.323529411764707"/>
    <x v="1"/>
    <x v="0"/>
  </r>
  <r>
    <n v="56"/>
    <n v="13"/>
    <n v="2.5"/>
    <n v="4.3"/>
    <n v="78.099999999999994"/>
    <n v="0.7"/>
    <x v="0"/>
    <x v="0"/>
    <n v="31.24"/>
    <x v="0"/>
    <x v="1"/>
  </r>
  <r>
    <n v="57"/>
    <n v="16"/>
    <n v="0.6"/>
    <n v="2.7"/>
    <n v="46.7"/>
    <n v="0"/>
    <x v="0"/>
    <x v="1"/>
    <n v="77.833333333333343"/>
    <x v="0"/>
    <x v="0"/>
  </r>
  <r>
    <n v="59"/>
    <n v="16"/>
    <n v="3.9"/>
    <n v="2.5"/>
    <n v="51.4"/>
    <n v="0.7"/>
    <x v="0"/>
    <x v="1"/>
    <n v="13.179487179487179"/>
    <x v="3"/>
    <x v="0"/>
  </r>
  <r>
    <n v="60"/>
    <n v="14"/>
    <n v="3.7"/>
    <n v="3.3"/>
    <n v="80"/>
    <n v="0.1"/>
    <x v="0"/>
    <x v="2"/>
    <n v="21.621621621621621"/>
    <x v="1"/>
    <x v="1"/>
  </r>
  <r>
    <n v="61"/>
    <n v="14"/>
    <n v="2.1"/>
    <n v="2.2000000000000002"/>
    <n v="76.900000000000006"/>
    <n v="2.1"/>
    <x v="0"/>
    <x v="0"/>
    <n v="36.61904761904762"/>
    <x v="0"/>
    <x v="1"/>
  </r>
  <r>
    <n v="62"/>
    <n v="16"/>
    <n v="3"/>
    <n v="6.4"/>
    <n v="46.6"/>
    <n v="2.8"/>
    <x v="0"/>
    <x v="1"/>
    <n v="15.533333333333333"/>
    <x v="2"/>
    <x v="0"/>
  </r>
  <r>
    <n v="65"/>
    <n v="14"/>
    <n v="2.5"/>
    <n v="2"/>
    <n v="82.1"/>
    <n v="1.3"/>
    <x v="0"/>
    <x v="2"/>
    <n v="32.839999999999996"/>
    <x v="0"/>
    <x v="1"/>
  </r>
  <r>
    <n v="66"/>
    <n v="16"/>
    <n v="2.7"/>
    <n v="2.8"/>
    <n v="61.2"/>
    <n v="1"/>
    <x v="0"/>
    <x v="0"/>
    <n v="22.666666666666668"/>
    <x v="1"/>
    <x v="0"/>
  </r>
  <r>
    <n v="67"/>
    <n v="14"/>
    <n v="3.1"/>
    <n v="3.3"/>
    <n v="61.2"/>
    <n v="2"/>
    <x v="0"/>
    <x v="0"/>
    <n v="19.741935483870968"/>
    <x v="2"/>
    <x v="1"/>
  </r>
  <r>
    <n v="68"/>
    <n v="14"/>
    <n v="2.2000000000000002"/>
    <n v="3.9"/>
    <n v="75.099999999999994"/>
    <n v="2.2999999999999998"/>
    <x v="0"/>
    <x v="0"/>
    <n v="34.136363636363633"/>
    <x v="0"/>
    <x v="1"/>
  </r>
  <r>
    <n v="69"/>
    <n v="16"/>
    <n v="3.1"/>
    <n v="3"/>
    <n v="69.900000000000006"/>
    <n v="0.8"/>
    <x v="0"/>
    <x v="0"/>
    <n v="22.548387096774196"/>
    <x v="1"/>
    <x v="0"/>
  </r>
  <r>
    <n v="70"/>
    <n v="16"/>
    <n v="0.6"/>
    <n v="1.6"/>
    <n v="80.5"/>
    <n v="1.5"/>
    <x v="0"/>
    <x v="2"/>
    <n v="134.16666666666669"/>
    <x v="0"/>
    <x v="0"/>
  </r>
  <r>
    <n v="71"/>
    <n v="13"/>
    <n v="2.8"/>
    <n v="1.7"/>
    <n v="74.8"/>
    <n v="2.5"/>
    <x v="0"/>
    <x v="0"/>
    <n v="26.714285714285715"/>
    <x v="0"/>
    <x v="1"/>
  </r>
  <r>
    <n v="72"/>
    <n v="17"/>
    <n v="2.6"/>
    <n v="5"/>
    <n v="85.8"/>
    <n v="2.1"/>
    <x v="0"/>
    <x v="2"/>
    <n v="33"/>
    <x v="0"/>
    <x v="0"/>
  </r>
  <r>
    <n v="73"/>
    <n v="17"/>
    <n v="2.2999999999999998"/>
    <n v="3.8"/>
    <n v="79.7"/>
    <n v="2.2000000000000002"/>
    <x v="0"/>
    <x v="0"/>
    <n v="34.652173913043484"/>
    <x v="0"/>
    <x v="0"/>
  </r>
  <r>
    <n v="74"/>
    <n v="14"/>
    <n v="2"/>
    <n v="5"/>
    <n v="77.2"/>
    <n v="2.6"/>
    <x v="0"/>
    <x v="0"/>
    <n v="38.6"/>
    <x v="0"/>
    <x v="1"/>
  </r>
  <r>
    <n v="75"/>
    <n v="17"/>
    <n v="1.9"/>
    <n v="5.2"/>
    <n v="66.5"/>
    <n v="2.6"/>
    <x v="0"/>
    <x v="0"/>
    <n v="35"/>
    <x v="0"/>
    <x v="0"/>
  </r>
  <r>
    <n v="76"/>
    <n v="14"/>
    <n v="1.7"/>
    <n v="4.2"/>
    <n v="65.7"/>
    <n v="2.2999999999999998"/>
    <x v="0"/>
    <x v="0"/>
    <n v="38.647058823529413"/>
    <x v="0"/>
    <x v="1"/>
  </r>
  <r>
    <n v="77"/>
    <n v="13"/>
    <n v="0.2"/>
    <n v="2.2000000000000002"/>
    <n v="69.5"/>
    <n v="1.6"/>
    <x v="0"/>
    <x v="0"/>
    <n v="347.5"/>
    <x v="0"/>
    <x v="1"/>
  </r>
  <r>
    <n v="78"/>
    <n v="16"/>
    <n v="2.2000000000000002"/>
    <n v="4.3"/>
    <n v="88.4"/>
    <n v="1.2"/>
    <x v="0"/>
    <x v="2"/>
    <n v="40.18181818181818"/>
    <x v="0"/>
    <x v="0"/>
  </r>
  <r>
    <n v="79"/>
    <n v="16"/>
    <n v="3.6"/>
    <n v="6.1"/>
    <n v="65.900000000000006"/>
    <n v="1.6"/>
    <x v="0"/>
    <x v="0"/>
    <n v="18.305555555555557"/>
    <x v="2"/>
    <x v="0"/>
  </r>
  <r>
    <n v="80"/>
    <n v="16"/>
    <n v="2.2000000000000002"/>
    <n v="3.3"/>
    <n v="72.599999999999994"/>
    <n v="1.1000000000000001"/>
    <x v="0"/>
    <x v="0"/>
    <n v="32.999999999999993"/>
    <x v="0"/>
    <x v="0"/>
  </r>
  <r>
    <n v="81"/>
    <n v="17"/>
    <n v="3.1"/>
    <n v="4.5"/>
    <n v="47.6"/>
    <n v="0"/>
    <x v="0"/>
    <x v="1"/>
    <n v="15.35483870967742"/>
    <x v="2"/>
    <x v="0"/>
  </r>
  <r>
    <n v="82"/>
    <n v="13"/>
    <n v="1.4"/>
    <n v="4"/>
    <n v="76.8"/>
    <n v="1.3"/>
    <x v="0"/>
    <x v="0"/>
    <n v="54.857142857142861"/>
    <x v="0"/>
    <x v="1"/>
  </r>
  <r>
    <n v="83"/>
    <n v="17"/>
    <n v="1.2"/>
    <n v="6.1"/>
    <n v="92.6"/>
    <n v="1.8"/>
    <x v="0"/>
    <x v="2"/>
    <n v="77.166666666666671"/>
    <x v="0"/>
    <x v="0"/>
  </r>
  <r>
    <n v="84"/>
    <n v="17"/>
    <n v="1.7"/>
    <n v="3"/>
    <n v="60.7"/>
    <n v="1"/>
    <x v="0"/>
    <x v="0"/>
    <n v="35.705882352941181"/>
    <x v="0"/>
    <x v="0"/>
  </r>
  <r>
    <n v="85"/>
    <n v="13"/>
    <n v="1.5"/>
    <n v="5.7"/>
    <n v="100"/>
    <n v="1.3"/>
    <x v="0"/>
    <x v="2"/>
    <n v="66.666666666666671"/>
    <x v="0"/>
    <x v="1"/>
  </r>
  <r>
    <n v="86"/>
    <n v="13"/>
    <n v="1.3"/>
    <n v="3.4"/>
    <n v="71.8"/>
    <n v="1.4"/>
    <x v="0"/>
    <x v="0"/>
    <n v="55.230769230769226"/>
    <x v="0"/>
    <x v="1"/>
  </r>
  <r>
    <n v="87"/>
    <n v="13"/>
    <n v="2.9"/>
    <n v="3"/>
    <n v="44.3"/>
    <n v="2.6"/>
    <x v="0"/>
    <x v="1"/>
    <n v="15.275862068965516"/>
    <x v="2"/>
    <x v="1"/>
  </r>
  <r>
    <n v="88"/>
    <n v="13"/>
    <n v="4.3"/>
    <n v="4.2"/>
    <n v="66.099999999999994"/>
    <n v="1.2"/>
    <x v="1"/>
    <x v="0"/>
    <n v="15.372093023255813"/>
    <x v="2"/>
    <x v="1"/>
  </r>
  <r>
    <n v="89"/>
    <n v="16"/>
    <n v="1.8"/>
    <n v="4.5"/>
    <n v="83.3"/>
    <n v="2.6"/>
    <x v="0"/>
    <x v="2"/>
    <n v="46.277777777777779"/>
    <x v="0"/>
    <x v="0"/>
  </r>
  <r>
    <n v="91"/>
    <n v="15"/>
    <n v="3.2"/>
    <n v="4.5"/>
    <n v="77.2"/>
    <n v="2.6"/>
    <x v="0"/>
    <x v="0"/>
    <n v="24.125"/>
    <x v="1"/>
    <x v="0"/>
  </r>
  <r>
    <n v="92"/>
    <n v="13"/>
    <n v="1.1000000000000001"/>
    <n v="4.3"/>
    <n v="85.7"/>
    <n v="2.5"/>
    <x v="0"/>
    <x v="2"/>
    <n v="77.909090909090907"/>
    <x v="0"/>
    <x v="1"/>
  </r>
  <r>
    <n v="93"/>
    <n v="15"/>
    <n v="1.3"/>
    <n v="6.4"/>
    <n v="58.2"/>
    <n v="2.2000000000000002"/>
    <x v="0"/>
    <x v="1"/>
    <n v="44.769230769230766"/>
    <x v="0"/>
    <x v="0"/>
  </r>
  <r>
    <n v="94"/>
    <n v="15"/>
    <n v="3"/>
    <n v="4.9000000000000004"/>
    <n v="63.2"/>
    <n v="0"/>
    <x v="0"/>
    <x v="0"/>
    <n v="21.066666666666666"/>
    <x v="1"/>
    <x v="0"/>
  </r>
  <r>
    <n v="95"/>
    <n v="13"/>
    <n v="2.2999999999999998"/>
    <n v="3"/>
    <n v="53.2"/>
    <n v="2.2999999999999998"/>
    <x v="0"/>
    <x v="1"/>
    <n v="23.130434782608699"/>
    <x v="1"/>
    <x v="1"/>
  </r>
  <r>
    <n v="96"/>
    <n v="15"/>
    <n v="1.8"/>
    <n v="6"/>
    <n v="63.9"/>
    <n v="1.5"/>
    <x v="0"/>
    <x v="0"/>
    <n v="35.5"/>
    <x v="0"/>
    <x v="0"/>
  </r>
  <r>
    <n v="97"/>
    <n v="17"/>
    <n v="2.6"/>
    <n v="2.9"/>
    <n v="77.599999999999994"/>
    <n v="0"/>
    <x v="0"/>
    <x v="0"/>
    <n v="29.846153846153843"/>
    <x v="0"/>
    <x v="0"/>
  </r>
  <r>
    <n v="98"/>
    <n v="14"/>
    <n v="2.1"/>
    <n v="3"/>
    <n v="72.099999999999994"/>
    <n v="2.5"/>
    <x v="0"/>
    <x v="0"/>
    <n v="34.333333333333329"/>
    <x v="0"/>
    <x v="1"/>
  </r>
  <r>
    <n v="99"/>
    <n v="14"/>
    <n v="4.4000000000000004"/>
    <n v="2.7"/>
    <n v="78.7"/>
    <n v="2.7"/>
    <x v="1"/>
    <x v="0"/>
    <n v="17.886363636363637"/>
    <x v="2"/>
    <x v="1"/>
  </r>
  <r>
    <n v="100"/>
    <n v="13"/>
    <n v="1.8"/>
    <n v="2.6"/>
    <n v="60.6"/>
    <n v="0"/>
    <x v="0"/>
    <x v="0"/>
    <n v="33.666666666666664"/>
    <x v="0"/>
    <x v="1"/>
  </r>
  <r>
    <n v="101"/>
    <n v="16"/>
    <n v="1.6"/>
    <n v="4.5"/>
    <n v="61.2"/>
    <n v="1.6"/>
    <x v="0"/>
    <x v="0"/>
    <n v="38.25"/>
    <x v="0"/>
    <x v="0"/>
  </r>
  <r>
    <n v="102"/>
    <n v="13"/>
    <n v="2"/>
    <n v="3.6"/>
    <n v="72"/>
    <n v="2.6"/>
    <x v="0"/>
    <x v="0"/>
    <n v="36"/>
    <x v="0"/>
    <x v="1"/>
  </r>
  <r>
    <n v="103"/>
    <n v="16"/>
    <n v="2.1"/>
    <n v="0"/>
    <n v="64"/>
    <n v="2.5"/>
    <x v="0"/>
    <x v="0"/>
    <n v="30.476190476190474"/>
    <x v="0"/>
    <x v="0"/>
  </r>
  <r>
    <n v="105"/>
    <n v="13"/>
    <n v="0.5"/>
    <n v="3.2"/>
    <n v="63.7"/>
    <n v="0"/>
    <x v="0"/>
    <x v="0"/>
    <n v="127.4"/>
    <x v="0"/>
    <x v="1"/>
  </r>
  <r>
    <n v="106"/>
    <n v="17"/>
    <n v="2.9"/>
    <n v="5.3"/>
    <n v="65"/>
    <n v="2.1"/>
    <x v="0"/>
    <x v="0"/>
    <n v="22.413793103448278"/>
    <x v="1"/>
    <x v="0"/>
  </r>
  <r>
    <n v="107"/>
    <n v="15"/>
    <n v="2"/>
    <n v="3.2"/>
    <n v="74.2"/>
    <n v="1.3"/>
    <x v="0"/>
    <x v="0"/>
    <n v="37.1"/>
    <x v="0"/>
    <x v="0"/>
  </r>
  <r>
    <n v="108"/>
    <n v="16"/>
    <n v="3.3"/>
    <n v="7.8"/>
    <n v="66.099999999999994"/>
    <n v="2.2999999999999998"/>
    <x v="0"/>
    <x v="0"/>
    <n v="20.030303030303031"/>
    <x v="1"/>
    <x v="0"/>
  </r>
  <r>
    <n v="109"/>
    <n v="15"/>
    <n v="2.5"/>
    <n v="6.1"/>
    <n v="57.7"/>
    <n v="1.7"/>
    <x v="0"/>
    <x v="1"/>
    <n v="23.080000000000002"/>
    <x v="1"/>
    <x v="0"/>
  </r>
  <r>
    <n v="110"/>
    <n v="15"/>
    <n v="3"/>
    <n v="3.4"/>
    <n v="59"/>
    <n v="1.5"/>
    <x v="0"/>
    <x v="1"/>
    <n v="19.666666666666668"/>
    <x v="2"/>
    <x v="0"/>
  </r>
  <r>
    <n v="111"/>
    <n v="13"/>
    <n v="2.1"/>
    <n v="5.7"/>
    <n v="75.400000000000006"/>
    <n v="2"/>
    <x v="0"/>
    <x v="0"/>
    <n v="35.904761904761905"/>
    <x v="0"/>
    <x v="1"/>
  </r>
  <r>
    <n v="113"/>
    <n v="17"/>
    <n v="4.2"/>
    <n v="4.4000000000000004"/>
    <n v="84"/>
    <n v="1.5"/>
    <x v="1"/>
    <x v="2"/>
    <n v="20"/>
    <x v="1"/>
    <x v="0"/>
  </r>
  <r>
    <n v="114"/>
    <n v="15"/>
    <n v="1.8"/>
    <n v="5.2"/>
    <n v="63.1"/>
    <n v="1.1000000000000001"/>
    <x v="0"/>
    <x v="0"/>
    <n v="35.055555555555557"/>
    <x v="0"/>
    <x v="0"/>
  </r>
  <r>
    <n v="115"/>
    <n v="13"/>
    <n v="2.4"/>
    <n v="4.0999999999999996"/>
    <n v="76.2"/>
    <n v="0.2"/>
    <x v="0"/>
    <x v="0"/>
    <n v="31.750000000000004"/>
    <x v="0"/>
    <x v="1"/>
  </r>
  <r>
    <n v="116"/>
    <n v="17"/>
    <n v="2"/>
    <n v="4.4000000000000004"/>
    <n v="63.7"/>
    <n v="2"/>
    <x v="0"/>
    <x v="0"/>
    <n v="31.85"/>
    <x v="0"/>
    <x v="0"/>
  </r>
  <r>
    <n v="117"/>
    <n v="14"/>
    <n v="4.0999999999999996"/>
    <n v="5.2"/>
    <n v="60.8"/>
    <n v="0.9"/>
    <x v="1"/>
    <x v="0"/>
    <n v="14.829268292682928"/>
    <x v="3"/>
    <x v="1"/>
  </r>
  <r>
    <n v="118"/>
    <n v="15"/>
    <n v="2.1"/>
    <n v="7.1"/>
    <n v="72.5"/>
    <n v="1.3"/>
    <x v="0"/>
    <x v="0"/>
    <n v="34.523809523809526"/>
    <x v="0"/>
    <x v="0"/>
  </r>
  <r>
    <n v="119"/>
    <n v="13"/>
    <n v="1.8"/>
    <n v="4.4000000000000004"/>
    <n v="80.5"/>
    <n v="1.7"/>
    <x v="0"/>
    <x v="2"/>
    <n v="44.722222222222221"/>
    <x v="0"/>
    <x v="1"/>
  </r>
  <r>
    <n v="120"/>
    <n v="14"/>
    <n v="1.9"/>
    <n v="3.3"/>
    <n v="67.5"/>
    <n v="0"/>
    <x v="0"/>
    <x v="0"/>
    <n v="35.526315789473685"/>
    <x v="0"/>
    <x v="1"/>
  </r>
  <r>
    <n v="121"/>
    <n v="14"/>
    <n v="2.4"/>
    <n v="1"/>
    <n v="69.3"/>
    <n v="0"/>
    <x v="0"/>
    <x v="0"/>
    <n v="28.875"/>
    <x v="0"/>
    <x v="1"/>
  </r>
  <r>
    <n v="122"/>
    <n v="16"/>
    <n v="1.7"/>
    <n v="6.9"/>
    <n v="78.099999999999994"/>
    <n v="1.3"/>
    <x v="0"/>
    <x v="0"/>
    <n v="45.941176470588232"/>
    <x v="0"/>
    <x v="0"/>
  </r>
  <r>
    <n v="123"/>
    <n v="17"/>
    <n v="2.1"/>
    <n v="3.6"/>
    <n v="78.400000000000006"/>
    <n v="1.9"/>
    <x v="0"/>
    <x v="0"/>
    <n v="37.333333333333336"/>
    <x v="0"/>
    <x v="0"/>
  </r>
  <r>
    <n v="124"/>
    <n v="15"/>
    <n v="2.7"/>
    <n v="4.8"/>
    <n v="69.599999999999994"/>
    <n v="2.1"/>
    <x v="0"/>
    <x v="0"/>
    <n v="25.777777777777775"/>
    <x v="0"/>
    <x v="0"/>
  </r>
  <r>
    <n v="125"/>
    <n v="13"/>
    <n v="2.4"/>
    <n v="6.9"/>
    <n v="65.599999999999994"/>
    <n v="0.2"/>
    <x v="0"/>
    <x v="0"/>
    <n v="27.333333333333332"/>
    <x v="0"/>
    <x v="1"/>
  </r>
  <r>
    <n v="126"/>
    <n v="16"/>
    <n v="3.3"/>
    <n v="4.3"/>
    <n v="70.8"/>
    <n v="2"/>
    <x v="0"/>
    <x v="0"/>
    <n v="21.454545454545453"/>
    <x v="1"/>
    <x v="0"/>
  </r>
  <r>
    <n v="127"/>
    <n v="17"/>
    <n v="2.2000000000000002"/>
    <n v="3.7"/>
    <n v="68.099999999999994"/>
    <n v="1.3"/>
    <x v="0"/>
    <x v="0"/>
    <n v="30.95454545454545"/>
    <x v="0"/>
    <x v="0"/>
  </r>
  <r>
    <n v="128"/>
    <n v="16"/>
    <n v="2.2999999999999998"/>
    <n v="6.1"/>
    <n v="73.099999999999994"/>
    <n v="0.8"/>
    <x v="0"/>
    <x v="0"/>
    <n v="31.782608695652176"/>
    <x v="0"/>
    <x v="0"/>
  </r>
  <r>
    <n v="129"/>
    <n v="17"/>
    <n v="2.8"/>
    <n v="4.7"/>
    <n v="58.1"/>
    <n v="1"/>
    <x v="0"/>
    <x v="1"/>
    <n v="20.750000000000004"/>
    <x v="1"/>
    <x v="0"/>
  </r>
  <r>
    <n v="130"/>
    <n v="17"/>
    <n v="4.7"/>
    <n v="4.9000000000000004"/>
    <n v="72.8"/>
    <n v="2.1"/>
    <x v="1"/>
    <x v="0"/>
    <n v="15.489361702127658"/>
    <x v="2"/>
    <x v="0"/>
  </r>
  <r>
    <n v="131"/>
    <n v="15"/>
    <n v="1.7"/>
    <n v="1.7"/>
    <n v="62.8"/>
    <n v="1.7"/>
    <x v="0"/>
    <x v="0"/>
    <n v="36.941176470588232"/>
    <x v="0"/>
    <x v="0"/>
  </r>
  <r>
    <n v="132"/>
    <n v="17"/>
    <n v="4.4000000000000004"/>
    <n v="5.8"/>
    <n v="79.099999999999994"/>
    <n v="1.5"/>
    <x v="1"/>
    <x v="0"/>
    <n v="17.977272727272723"/>
    <x v="2"/>
    <x v="0"/>
  </r>
  <r>
    <n v="133"/>
    <n v="16"/>
    <n v="1.3"/>
    <n v="4.5999999999999996"/>
    <n v="63.3"/>
    <n v="1.7"/>
    <x v="0"/>
    <x v="0"/>
    <n v="48.692307692307686"/>
    <x v="0"/>
    <x v="0"/>
  </r>
  <r>
    <n v="134"/>
    <n v="17"/>
    <n v="2.7"/>
    <n v="1.9"/>
    <n v="63.4"/>
    <n v="2.2000000000000002"/>
    <x v="0"/>
    <x v="0"/>
    <n v="23.481481481481481"/>
    <x v="1"/>
    <x v="0"/>
  </r>
  <r>
    <n v="136"/>
    <n v="15"/>
    <n v="1.7"/>
    <n v="0.9"/>
    <n v="70.099999999999994"/>
    <n v="1.5"/>
    <x v="0"/>
    <x v="0"/>
    <n v="41.235294117647058"/>
    <x v="0"/>
    <x v="0"/>
  </r>
  <r>
    <n v="137"/>
    <n v="16"/>
    <n v="3.2"/>
    <n v="7.5"/>
    <n v="92.8"/>
    <n v="2.4"/>
    <x v="0"/>
    <x v="2"/>
    <n v="28.999999999999996"/>
    <x v="0"/>
    <x v="0"/>
  </r>
  <r>
    <n v="139"/>
    <n v="14"/>
    <n v="2"/>
    <n v="6.4"/>
    <n v="71.099999999999994"/>
    <n v="2"/>
    <x v="0"/>
    <x v="0"/>
    <n v="35.549999999999997"/>
    <x v="0"/>
    <x v="1"/>
  </r>
  <r>
    <n v="140"/>
    <n v="17"/>
    <n v="0.4"/>
    <n v="2.8"/>
    <n v="81.3"/>
    <n v="1.1000000000000001"/>
    <x v="0"/>
    <x v="2"/>
    <n v="203.24999999999997"/>
    <x v="0"/>
    <x v="0"/>
  </r>
  <r>
    <n v="141"/>
    <n v="13"/>
    <n v="2.1"/>
    <n v="4.8"/>
    <n v="64.2"/>
    <n v="1.2"/>
    <x v="0"/>
    <x v="0"/>
    <n v="30.571428571428573"/>
    <x v="0"/>
    <x v="1"/>
  </r>
  <r>
    <n v="142"/>
    <n v="17"/>
    <n v="2.6"/>
    <n v="2.6"/>
    <n v="60.9"/>
    <n v="1.4"/>
    <x v="0"/>
    <x v="0"/>
    <n v="23.423076923076923"/>
    <x v="1"/>
    <x v="0"/>
  </r>
  <r>
    <n v="143"/>
    <n v="16"/>
    <n v="2.5"/>
    <n v="5.5"/>
    <n v="61.3"/>
    <n v="1.9"/>
    <x v="0"/>
    <x v="0"/>
    <n v="24.52"/>
    <x v="1"/>
    <x v="0"/>
  </r>
  <r>
    <n v="144"/>
    <n v="16"/>
    <n v="3.3"/>
    <n v="3.6"/>
    <n v="53.9"/>
    <n v="2.5"/>
    <x v="0"/>
    <x v="1"/>
    <n v="16.333333333333332"/>
    <x v="2"/>
    <x v="0"/>
  </r>
  <r>
    <n v="145"/>
    <n v="16"/>
    <n v="4.4000000000000004"/>
    <n v="4.7"/>
    <n v="83.5"/>
    <n v="1.6"/>
    <x v="1"/>
    <x v="2"/>
    <n v="18.977272727272727"/>
    <x v="2"/>
    <x v="0"/>
  </r>
  <r>
    <n v="146"/>
    <n v="16"/>
    <n v="2.9"/>
    <n v="4"/>
    <n v="66.7"/>
    <n v="0.3"/>
    <x v="0"/>
    <x v="0"/>
    <n v="23"/>
    <x v="1"/>
    <x v="0"/>
  </r>
  <r>
    <n v="147"/>
    <n v="16"/>
    <n v="3.1"/>
    <n v="2"/>
    <n v="65.5"/>
    <n v="2"/>
    <x v="0"/>
    <x v="0"/>
    <n v="21.129032258064516"/>
    <x v="1"/>
    <x v="0"/>
  </r>
  <r>
    <n v="148"/>
    <n v="15"/>
    <n v="2.6"/>
    <n v="4.8"/>
    <n v="48.8"/>
    <n v="3.5"/>
    <x v="0"/>
    <x v="1"/>
    <n v="18.769230769230766"/>
    <x v="2"/>
    <x v="0"/>
  </r>
  <r>
    <n v="149"/>
    <n v="14"/>
    <n v="3.7"/>
    <n v="3.2"/>
    <n v="55.7"/>
    <n v="1.6"/>
    <x v="0"/>
    <x v="1"/>
    <n v="15.054054054054054"/>
    <x v="2"/>
    <x v="1"/>
  </r>
  <r>
    <n v="150"/>
    <n v="16"/>
    <n v="3"/>
    <n v="5.6"/>
    <n v="84.7"/>
    <n v="0.1"/>
    <x v="0"/>
    <x v="2"/>
    <n v="28.233333333333334"/>
    <x v="0"/>
    <x v="0"/>
  </r>
  <r>
    <n v="151"/>
    <n v="13"/>
    <n v="3.2"/>
    <n v="3.6"/>
    <n v="73"/>
    <n v="1.6"/>
    <x v="0"/>
    <x v="0"/>
    <n v="22.8125"/>
    <x v="1"/>
    <x v="1"/>
  </r>
  <r>
    <n v="152"/>
    <n v="13"/>
    <n v="4.3"/>
    <n v="3.9"/>
    <n v="81.7"/>
    <n v="1.5"/>
    <x v="1"/>
    <x v="2"/>
    <n v="19"/>
    <x v="2"/>
    <x v="1"/>
  </r>
  <r>
    <n v="153"/>
    <n v="13"/>
    <n v="2.7"/>
    <n v="6.5"/>
    <n v="80.400000000000006"/>
    <n v="1.4"/>
    <x v="0"/>
    <x v="2"/>
    <n v="29.777777777777779"/>
    <x v="0"/>
    <x v="1"/>
  </r>
  <r>
    <n v="154"/>
    <n v="13"/>
    <n v="2.2000000000000002"/>
    <n v="7.6"/>
    <n v="60"/>
    <n v="2.2999999999999998"/>
    <x v="0"/>
    <x v="0"/>
    <n v="27.27272727272727"/>
    <x v="0"/>
    <x v="1"/>
  </r>
  <r>
    <n v="155"/>
    <n v="15"/>
    <n v="2.9"/>
    <n v="5.2"/>
    <n v="94.3"/>
    <n v="2.6"/>
    <x v="0"/>
    <x v="2"/>
    <n v="32.517241379310342"/>
    <x v="0"/>
    <x v="0"/>
  </r>
  <r>
    <n v="156"/>
    <n v="13"/>
    <n v="3.6"/>
    <n v="3.6"/>
    <n v="89.5"/>
    <n v="2"/>
    <x v="0"/>
    <x v="2"/>
    <n v="24.861111111111111"/>
    <x v="1"/>
    <x v="1"/>
  </r>
  <r>
    <n v="157"/>
    <n v="16"/>
    <n v="3"/>
    <n v="3.4"/>
    <n v="64.400000000000006"/>
    <n v="1.4"/>
    <x v="0"/>
    <x v="0"/>
    <n v="21.466666666666669"/>
    <x v="1"/>
    <x v="0"/>
  </r>
  <r>
    <n v="158"/>
    <n v="17"/>
    <n v="3.6"/>
    <n v="2.8"/>
    <n v="34.299999999999997"/>
    <n v="2.4"/>
    <x v="0"/>
    <x v="3"/>
    <n v="9.5277777777777768"/>
    <x v="3"/>
    <x v="0"/>
  </r>
  <r>
    <n v="159"/>
    <n v="13"/>
    <n v="1.8"/>
    <n v="3.1"/>
    <n v="66.400000000000006"/>
    <n v="0.3"/>
    <x v="0"/>
    <x v="0"/>
    <n v="36.888888888888893"/>
    <x v="0"/>
    <x v="1"/>
  </r>
  <r>
    <n v="160"/>
    <n v="15"/>
    <n v="1.6"/>
    <n v="3.6"/>
    <n v="72.400000000000006"/>
    <n v="0.9"/>
    <x v="0"/>
    <x v="0"/>
    <n v="45.25"/>
    <x v="0"/>
    <x v="0"/>
  </r>
  <r>
    <n v="161"/>
    <n v="15"/>
    <n v="2"/>
    <n v="6.9"/>
    <n v="64.3"/>
    <n v="1"/>
    <x v="0"/>
    <x v="0"/>
    <n v="32.15"/>
    <x v="0"/>
    <x v="0"/>
  </r>
  <r>
    <n v="162"/>
    <n v="13"/>
    <n v="1.2"/>
    <n v="3.7"/>
    <n v="67.8"/>
    <n v="1.5"/>
    <x v="0"/>
    <x v="0"/>
    <n v="56.5"/>
    <x v="0"/>
    <x v="1"/>
  </r>
  <r>
    <n v="163"/>
    <n v="17"/>
    <n v="2.6"/>
    <n v="2.2000000000000002"/>
    <n v="61.7"/>
    <n v="1.9"/>
    <x v="0"/>
    <x v="0"/>
    <n v="23.73076923076923"/>
    <x v="1"/>
    <x v="0"/>
  </r>
  <r>
    <n v="164"/>
    <n v="13"/>
    <n v="2.1"/>
    <n v="4.0999999999999996"/>
    <n v="79.2"/>
    <n v="1.3"/>
    <x v="0"/>
    <x v="0"/>
    <n v="37.714285714285715"/>
    <x v="0"/>
    <x v="1"/>
  </r>
  <r>
    <n v="165"/>
    <n v="15"/>
    <n v="3.7"/>
    <n v="4.3"/>
    <n v="70.599999999999994"/>
    <n v="0.8"/>
    <x v="0"/>
    <x v="0"/>
    <n v="19.081081081081077"/>
    <x v="2"/>
    <x v="0"/>
  </r>
  <r>
    <n v="166"/>
    <n v="14"/>
    <n v="1.2"/>
    <n v="4.0999999999999996"/>
    <n v="79.5"/>
    <n v="2.2999999999999998"/>
    <x v="0"/>
    <x v="0"/>
    <n v="66.25"/>
    <x v="0"/>
    <x v="1"/>
  </r>
  <r>
    <n v="167"/>
    <n v="16"/>
    <n v="4.0999999999999996"/>
    <n v="5.2"/>
    <n v="82.2"/>
    <n v="1.3"/>
    <x v="1"/>
    <x v="2"/>
    <n v="20.04878048780488"/>
    <x v="1"/>
    <x v="0"/>
  </r>
  <r>
    <n v="168"/>
    <n v="15"/>
    <n v="1.5"/>
    <n v="4.0999999999999996"/>
    <n v="48.3"/>
    <n v="1.6"/>
    <x v="0"/>
    <x v="1"/>
    <n v="32.199999999999996"/>
    <x v="0"/>
    <x v="0"/>
  </r>
  <r>
    <n v="169"/>
    <n v="13"/>
    <n v="1.3"/>
    <n v="5.2"/>
    <n v="62.3"/>
    <n v="1.9"/>
    <x v="0"/>
    <x v="0"/>
    <n v="47.92307692307692"/>
    <x v="0"/>
    <x v="1"/>
  </r>
  <r>
    <n v="170"/>
    <n v="16"/>
    <n v="1.7"/>
    <n v="2.8"/>
    <n v="63.8"/>
    <n v="1.5"/>
    <x v="0"/>
    <x v="0"/>
    <n v="37.529411764705884"/>
    <x v="0"/>
    <x v="0"/>
  </r>
  <r>
    <n v="172"/>
    <n v="13"/>
    <n v="2.5"/>
    <n v="4.4000000000000004"/>
    <n v="71.5"/>
    <n v="2.2999999999999998"/>
    <x v="0"/>
    <x v="0"/>
    <n v="28.6"/>
    <x v="0"/>
    <x v="1"/>
  </r>
  <r>
    <n v="174"/>
    <n v="16"/>
    <n v="2.2999999999999998"/>
    <n v="2.8"/>
    <n v="51.2"/>
    <n v="2.2000000000000002"/>
    <x v="0"/>
    <x v="1"/>
    <n v="22.260869565217394"/>
    <x v="1"/>
    <x v="0"/>
  </r>
  <r>
    <n v="175"/>
    <n v="16"/>
    <n v="2.4"/>
    <n v="4.7"/>
    <n v="71.400000000000006"/>
    <n v="1.9"/>
    <x v="0"/>
    <x v="0"/>
    <n v="29.750000000000004"/>
    <x v="0"/>
    <x v="0"/>
  </r>
  <r>
    <n v="176"/>
    <n v="14"/>
    <n v="2"/>
    <n v="5"/>
    <n v="79.8"/>
    <n v="3.1"/>
    <x v="0"/>
    <x v="0"/>
    <n v="39.9"/>
    <x v="0"/>
    <x v="1"/>
  </r>
  <r>
    <n v="177"/>
    <n v="15"/>
    <n v="2.6"/>
    <n v="2.2000000000000002"/>
    <n v="78.599999999999994"/>
    <n v="1.8"/>
    <x v="0"/>
    <x v="0"/>
    <n v="30.230769230769226"/>
    <x v="0"/>
    <x v="0"/>
  </r>
  <r>
    <n v="178"/>
    <n v="13"/>
    <n v="3"/>
    <n v="1.5"/>
    <n v="76.2"/>
    <n v="2"/>
    <x v="0"/>
    <x v="0"/>
    <n v="25.400000000000002"/>
    <x v="0"/>
    <x v="1"/>
  </r>
  <r>
    <n v="179"/>
    <n v="17"/>
    <n v="4.2"/>
    <n v="4.4000000000000004"/>
    <n v="70.099999999999994"/>
    <n v="2.4"/>
    <x v="1"/>
    <x v="0"/>
    <n v="16.69047619047619"/>
    <x v="2"/>
    <x v="0"/>
  </r>
  <r>
    <n v="180"/>
    <n v="13"/>
    <n v="0.6"/>
    <n v="3.3"/>
    <n v="70.599999999999994"/>
    <n v="1.6"/>
    <x v="0"/>
    <x v="0"/>
    <n v="117.66666666666666"/>
    <x v="0"/>
    <x v="1"/>
  </r>
  <r>
    <n v="181"/>
    <n v="13"/>
    <n v="4.0999999999999996"/>
    <n v="4.4000000000000004"/>
    <n v="53.1"/>
    <n v="1"/>
    <x v="1"/>
    <x v="1"/>
    <n v="12.951219512195124"/>
    <x v="3"/>
    <x v="1"/>
  </r>
  <r>
    <n v="182"/>
    <n v="15"/>
    <n v="3"/>
    <n v="2.1"/>
    <n v="61"/>
    <n v="1.1000000000000001"/>
    <x v="0"/>
    <x v="0"/>
    <n v="20.333333333333332"/>
    <x v="1"/>
    <x v="0"/>
  </r>
  <r>
    <n v="183"/>
    <n v="13"/>
    <n v="2.1"/>
    <n v="1.7"/>
    <n v="72.3"/>
    <n v="1.1000000000000001"/>
    <x v="0"/>
    <x v="0"/>
    <n v="34.428571428571423"/>
    <x v="0"/>
    <x v="1"/>
  </r>
  <r>
    <n v="184"/>
    <n v="14"/>
    <n v="2"/>
    <n v="4.3"/>
    <n v="62.8"/>
    <n v="0.7"/>
    <x v="0"/>
    <x v="0"/>
    <n v="31.4"/>
    <x v="0"/>
    <x v="1"/>
  </r>
  <r>
    <n v="185"/>
    <n v="14"/>
    <n v="3.5"/>
    <n v="3.5"/>
    <n v="76.900000000000006"/>
    <n v="1.8"/>
    <x v="0"/>
    <x v="0"/>
    <n v="21.971428571428572"/>
    <x v="1"/>
    <x v="1"/>
  </r>
  <r>
    <n v="187"/>
    <n v="17"/>
    <n v="1"/>
    <n v="6"/>
    <n v="83.7"/>
    <n v="1.7"/>
    <x v="0"/>
    <x v="2"/>
    <n v="83.7"/>
    <x v="0"/>
    <x v="0"/>
  </r>
  <r>
    <n v="188"/>
    <n v="13"/>
    <n v="2.9"/>
    <n v="2"/>
    <n v="79.599999999999994"/>
    <n v="1.4"/>
    <x v="0"/>
    <x v="0"/>
    <n v="27.448275862068964"/>
    <x v="0"/>
    <x v="1"/>
  </r>
  <r>
    <n v="189"/>
    <n v="13"/>
    <n v="3.6"/>
    <n v="7.9"/>
    <n v="72.3"/>
    <n v="1.5"/>
    <x v="0"/>
    <x v="0"/>
    <n v="20.083333333333332"/>
    <x v="1"/>
    <x v="1"/>
  </r>
  <r>
    <n v="190"/>
    <n v="15"/>
    <n v="3.4"/>
    <n v="3.1"/>
    <n v="77.5"/>
    <n v="1.9"/>
    <x v="0"/>
    <x v="0"/>
    <n v="22.794117647058822"/>
    <x v="1"/>
    <x v="0"/>
  </r>
  <r>
    <n v="191"/>
    <n v="14"/>
    <n v="1.9"/>
    <n v="4.5999999999999996"/>
    <n v="80.099999999999994"/>
    <n v="1.1000000000000001"/>
    <x v="0"/>
    <x v="2"/>
    <n v="42.157894736842103"/>
    <x v="0"/>
    <x v="1"/>
  </r>
  <r>
    <n v="192"/>
    <n v="17"/>
    <n v="1.2"/>
    <n v="6.5"/>
    <n v="64.900000000000006"/>
    <n v="2"/>
    <x v="0"/>
    <x v="0"/>
    <n v="54.083333333333343"/>
    <x v="0"/>
    <x v="0"/>
  </r>
  <r>
    <n v="193"/>
    <n v="16"/>
    <n v="2.2000000000000002"/>
    <n v="6.2"/>
    <n v="66.7"/>
    <n v="2.8"/>
    <x v="0"/>
    <x v="0"/>
    <n v="30.318181818181817"/>
    <x v="0"/>
    <x v="0"/>
  </r>
  <r>
    <n v="194"/>
    <n v="14"/>
    <n v="5.8"/>
    <n v="7"/>
    <n v="69"/>
    <n v="1.8"/>
    <x v="1"/>
    <x v="0"/>
    <n v="11.896551724137931"/>
    <x v="3"/>
    <x v="1"/>
  </r>
  <r>
    <n v="195"/>
    <n v="16"/>
    <n v="1"/>
    <n v="1.7"/>
    <n v="65.2"/>
    <n v="0.9"/>
    <x v="0"/>
    <x v="0"/>
    <n v="65.2"/>
    <x v="0"/>
    <x v="0"/>
  </r>
  <r>
    <n v="196"/>
    <n v="15"/>
    <n v="1.7"/>
    <n v="2.2999999999999998"/>
    <n v="80.2"/>
    <n v="1"/>
    <x v="0"/>
    <x v="2"/>
    <n v="47.176470588235297"/>
    <x v="0"/>
    <x v="0"/>
  </r>
  <r>
    <n v="197"/>
    <n v="15"/>
    <n v="2.9"/>
    <n v="4.3"/>
    <n v="63.7"/>
    <n v="1.3"/>
    <x v="0"/>
    <x v="0"/>
    <n v="21.965517241379313"/>
    <x v="1"/>
    <x v="0"/>
  </r>
  <r>
    <n v="198"/>
    <n v="13"/>
    <n v="2.4"/>
    <n v="5.3"/>
    <n v="82.5"/>
    <n v="1"/>
    <x v="0"/>
    <x v="2"/>
    <n v="34.375"/>
    <x v="0"/>
    <x v="1"/>
  </r>
  <r>
    <n v="199"/>
    <n v="17"/>
    <n v="2.2999999999999998"/>
    <n v="4"/>
    <n v="66.3"/>
    <n v="0.7"/>
    <x v="0"/>
    <x v="0"/>
    <n v="28.826086956521738"/>
    <x v="0"/>
    <x v="0"/>
  </r>
  <r>
    <n v="200"/>
    <n v="16"/>
    <n v="4.5"/>
    <n v="1.5"/>
    <n v="74.7"/>
    <n v="1.6"/>
    <x v="1"/>
    <x v="0"/>
    <n v="16.60000000000000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5D655-3208-4378-8036-C934C440EFA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11"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Screen_Time" fld="3" subtotal="average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1B1CF-7A85-4A8E-AFC7-A956C314C4F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:B19" firstHeaderRow="1" firstDataRow="1" firstDataCol="1"/>
  <pivotFields count="11"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Extra_Curricular_Hours" fld="5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5EF2A-2902-4849-8637-F8D74535A9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8:C31" firstHeaderRow="1" firstDataRow="1" firstDataCol="1"/>
  <pivotFields count="11"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of Test_Scores" fld="4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870A-2D02-4C4A-99E3-38EE16B443D8}">
  <dimension ref="A1:M183"/>
  <sheetViews>
    <sheetView tabSelected="1" workbookViewId="0">
      <selection activeCell="O11" sqref="O11"/>
    </sheetView>
  </sheetViews>
  <sheetFormatPr defaultRowHeight="14.4" x14ac:dyDescent="0.3"/>
  <cols>
    <col min="1" max="1" width="10" style="3" bestFit="1" customWidth="1"/>
    <col min="2" max="2" width="4" style="3" bestFit="1" customWidth="1"/>
    <col min="3" max="3" width="11.21875" style="3" bestFit="1" customWidth="1"/>
    <col min="4" max="4" width="11.44140625" style="3" bestFit="1" customWidth="1"/>
    <col min="5" max="5" width="10.77734375" style="3" bestFit="1" customWidth="1"/>
    <col min="6" max="6" width="20.109375" style="3" bestFit="1" customWidth="1"/>
    <col min="7" max="7" width="19.44140625" style="4" customWidth="1"/>
    <col min="8" max="8" width="12.5546875" style="4" customWidth="1"/>
    <col min="9" max="9" width="15.6640625" style="4" customWidth="1"/>
    <col min="10" max="10" width="14.21875" style="4" customWidth="1"/>
    <col min="11" max="11" width="10.44140625" style="4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3" x14ac:dyDescent="0.3">
      <c r="A2" s="3">
        <v>1</v>
      </c>
      <c r="B2" s="3">
        <v>16</v>
      </c>
      <c r="C2" s="3">
        <v>2.5</v>
      </c>
      <c r="D2" s="3">
        <v>2.7</v>
      </c>
      <c r="E2" s="3">
        <v>75</v>
      </c>
      <c r="F2" s="3">
        <v>1.6</v>
      </c>
      <c r="G2" s="4" t="str">
        <f>IF(C2&gt;4,"High screen Time","Normal")</f>
        <v>Normal</v>
      </c>
      <c r="H2" s="4" t="str">
        <f>IF(E2&gt;=80,"Excellent",IF(E2&gt;=60,"Good",IF(E2&gt;=40,"Average","Poor")))</f>
        <v>Good</v>
      </c>
      <c r="I2" s="4">
        <f>E2/C2</f>
        <v>30</v>
      </c>
      <c r="J2" s="4" t="str">
        <f>IF(I2&gt;=25,"Highly Efficient",IF(I2&gt;=20,"High",IF(I2&gt;=15,"Moderate","Low")))</f>
        <v>Highly Efficient</v>
      </c>
      <c r="K2" s="4" t="str">
        <f>IF(B2&gt;=15,"Young",IF(B2&gt;=17,"Mid","senior"))</f>
        <v>Young</v>
      </c>
    </row>
    <row r="3" spans="1:13" x14ac:dyDescent="0.3">
      <c r="A3" s="3">
        <v>2</v>
      </c>
      <c r="B3" s="3">
        <v>17</v>
      </c>
      <c r="C3" s="3">
        <v>2.7</v>
      </c>
      <c r="D3" s="3">
        <v>4</v>
      </c>
      <c r="E3" s="3">
        <v>68.099999999999994</v>
      </c>
      <c r="F3" s="3">
        <v>0.7</v>
      </c>
      <c r="G3" s="4" t="str">
        <f t="shared" ref="G3:G66" si="0">IF(C3&gt;4,"High screen Time","Normal")</f>
        <v>Normal</v>
      </c>
      <c r="H3" s="4" t="str">
        <f t="shared" ref="H3:H66" si="1">IF(E3&gt;=80,"Excellent",IF(E3&gt;=60,"Good",IF(E3&gt;=40,"Average","Poor")))</f>
        <v>Good</v>
      </c>
      <c r="I3" s="4">
        <f t="shared" ref="I3:I66" si="2">E3/C3</f>
        <v>25.222222222222218</v>
      </c>
      <c r="J3" s="4" t="str">
        <f t="shared" ref="J3:J66" si="3">IF(I3&gt;=25,"Highly Efficient",IF(I3&gt;=20,"High",IF(I3&gt;=15,"Moderate","Low")))</f>
        <v>Highly Efficient</v>
      </c>
      <c r="K3" s="4" t="str">
        <f t="shared" ref="K3:K66" si="4">IF(B3&gt;=15,"Young",IF(B3&gt;=17,"Mid","senior"))</f>
        <v>Young</v>
      </c>
    </row>
    <row r="4" spans="1:13" x14ac:dyDescent="0.3">
      <c r="A4" s="3">
        <v>3</v>
      </c>
      <c r="B4" s="3">
        <v>15</v>
      </c>
      <c r="C4" s="3">
        <v>3</v>
      </c>
      <c r="D4" s="3">
        <v>4.3</v>
      </c>
      <c r="E4" s="3">
        <v>67.900000000000006</v>
      </c>
      <c r="F4" s="3">
        <v>1.5</v>
      </c>
      <c r="G4" s="4" t="str">
        <f t="shared" si="0"/>
        <v>Normal</v>
      </c>
      <c r="H4" s="4" t="str">
        <f t="shared" si="1"/>
        <v>Good</v>
      </c>
      <c r="I4" s="4">
        <f t="shared" si="2"/>
        <v>22.633333333333336</v>
      </c>
      <c r="J4" s="4" t="str">
        <f t="shared" si="3"/>
        <v>High</v>
      </c>
      <c r="K4" s="4" t="str">
        <f t="shared" si="4"/>
        <v>Young</v>
      </c>
    </row>
    <row r="5" spans="1:13" x14ac:dyDescent="0.3">
      <c r="A5" s="3">
        <v>4</v>
      </c>
      <c r="B5" s="3">
        <v>17</v>
      </c>
      <c r="C5" s="3">
        <v>3</v>
      </c>
      <c r="D5" s="3">
        <v>2.8</v>
      </c>
      <c r="E5" s="3">
        <v>47.2</v>
      </c>
      <c r="F5" s="3">
        <v>1.8</v>
      </c>
      <c r="G5" s="4" t="str">
        <f t="shared" si="0"/>
        <v>Normal</v>
      </c>
      <c r="H5" s="4" t="str">
        <f t="shared" si="1"/>
        <v>Average</v>
      </c>
      <c r="I5" s="4">
        <f t="shared" si="2"/>
        <v>15.733333333333334</v>
      </c>
      <c r="J5" s="4" t="str">
        <f t="shared" si="3"/>
        <v>Moderate</v>
      </c>
      <c r="K5" s="4" t="str">
        <f t="shared" si="4"/>
        <v>Young</v>
      </c>
    </row>
    <row r="6" spans="1:13" x14ac:dyDescent="0.3">
      <c r="A6" s="3">
        <v>6</v>
      </c>
      <c r="B6" s="3">
        <v>14</v>
      </c>
      <c r="C6" s="3">
        <v>1.3</v>
      </c>
      <c r="D6" s="3">
        <v>4.4000000000000004</v>
      </c>
      <c r="E6" s="3">
        <v>71.5</v>
      </c>
      <c r="F6" s="3">
        <v>0.4</v>
      </c>
      <c r="G6" s="4" t="str">
        <f t="shared" si="0"/>
        <v>Normal</v>
      </c>
      <c r="H6" s="4" t="str">
        <f t="shared" si="1"/>
        <v>Good</v>
      </c>
      <c r="I6" s="4">
        <f t="shared" si="2"/>
        <v>55</v>
      </c>
      <c r="J6" s="4" t="str">
        <f t="shared" si="3"/>
        <v>Highly Efficient</v>
      </c>
      <c r="K6" s="4" t="str">
        <f t="shared" si="4"/>
        <v>senior</v>
      </c>
      <c r="M6">
        <f>COUNT(A:A)</f>
        <v>182</v>
      </c>
    </row>
    <row r="7" spans="1:13" x14ac:dyDescent="0.3">
      <c r="A7" s="3">
        <v>7</v>
      </c>
      <c r="B7" s="3">
        <v>15</v>
      </c>
      <c r="C7" s="3">
        <v>3.3</v>
      </c>
      <c r="D7" s="3">
        <v>6.7</v>
      </c>
      <c r="E7" s="3">
        <v>88</v>
      </c>
      <c r="F7" s="3">
        <v>2.9</v>
      </c>
      <c r="G7" s="4" t="str">
        <f t="shared" si="0"/>
        <v>Normal</v>
      </c>
      <c r="H7" s="4" t="str">
        <f t="shared" si="1"/>
        <v>Excellent</v>
      </c>
      <c r="I7" s="4">
        <f t="shared" si="2"/>
        <v>26.666666666666668</v>
      </c>
      <c r="J7" s="4" t="str">
        <f t="shared" si="3"/>
        <v>Highly Efficient</v>
      </c>
      <c r="K7" s="4" t="str">
        <f t="shared" si="4"/>
        <v>Young</v>
      </c>
    </row>
    <row r="8" spans="1:13" x14ac:dyDescent="0.3">
      <c r="A8" s="3">
        <v>8</v>
      </c>
      <c r="B8" s="3">
        <v>15</v>
      </c>
      <c r="C8" s="3">
        <v>2.9</v>
      </c>
      <c r="D8" s="3">
        <v>4.5999999999999996</v>
      </c>
      <c r="E8" s="3">
        <v>69.3</v>
      </c>
      <c r="F8" s="3">
        <v>1.6</v>
      </c>
      <c r="G8" s="4" t="str">
        <f t="shared" si="0"/>
        <v>Normal</v>
      </c>
      <c r="H8" s="4" t="str">
        <f t="shared" si="1"/>
        <v>Good</v>
      </c>
      <c r="I8" s="4">
        <f t="shared" si="2"/>
        <v>23.896551724137932</v>
      </c>
      <c r="J8" s="4" t="str">
        <f t="shared" si="3"/>
        <v>High</v>
      </c>
      <c r="K8" s="4" t="str">
        <f t="shared" si="4"/>
        <v>Young</v>
      </c>
    </row>
    <row r="9" spans="1:13" x14ac:dyDescent="0.3">
      <c r="A9" s="3">
        <v>9</v>
      </c>
      <c r="B9" s="3">
        <v>15</v>
      </c>
      <c r="C9" s="3">
        <v>1.4</v>
      </c>
      <c r="D9" s="3">
        <v>4.0999999999999996</v>
      </c>
      <c r="E9" s="3">
        <v>75.7</v>
      </c>
      <c r="F9" s="3">
        <v>0.9</v>
      </c>
      <c r="G9" s="4" t="str">
        <f t="shared" si="0"/>
        <v>Normal</v>
      </c>
      <c r="H9" s="4" t="str">
        <f t="shared" si="1"/>
        <v>Good</v>
      </c>
      <c r="I9" s="4">
        <f t="shared" si="2"/>
        <v>54.071428571428577</v>
      </c>
      <c r="J9" s="4" t="str">
        <f t="shared" si="3"/>
        <v>Highly Efficient</v>
      </c>
      <c r="K9" s="4" t="str">
        <f t="shared" si="4"/>
        <v>Young</v>
      </c>
    </row>
    <row r="10" spans="1:13" x14ac:dyDescent="0.3">
      <c r="A10" s="3">
        <v>10</v>
      </c>
      <c r="B10" s="3">
        <v>17</v>
      </c>
      <c r="C10" s="3">
        <v>1.8</v>
      </c>
      <c r="D10" s="3">
        <v>4.0999999999999996</v>
      </c>
      <c r="E10" s="3">
        <v>78.3</v>
      </c>
      <c r="F10" s="3">
        <v>2.8</v>
      </c>
      <c r="G10" s="4" t="str">
        <f t="shared" si="0"/>
        <v>Normal</v>
      </c>
      <c r="H10" s="4" t="str">
        <f t="shared" si="1"/>
        <v>Good</v>
      </c>
      <c r="I10" s="4">
        <f t="shared" si="2"/>
        <v>43.5</v>
      </c>
      <c r="J10" s="4" t="str">
        <f t="shared" si="3"/>
        <v>Highly Efficient</v>
      </c>
      <c r="K10" s="4" t="str">
        <f t="shared" si="4"/>
        <v>Young</v>
      </c>
    </row>
    <row r="11" spans="1:13" x14ac:dyDescent="0.3">
      <c r="A11" s="3">
        <v>11</v>
      </c>
      <c r="B11" s="3">
        <v>16</v>
      </c>
      <c r="C11" s="3">
        <v>3.4</v>
      </c>
      <c r="D11" s="3">
        <v>3.6</v>
      </c>
      <c r="E11" s="3">
        <v>52.5</v>
      </c>
      <c r="F11" s="3">
        <v>2</v>
      </c>
      <c r="G11" s="4" t="str">
        <f t="shared" si="0"/>
        <v>Normal</v>
      </c>
      <c r="H11" s="4" t="str">
        <f t="shared" si="1"/>
        <v>Average</v>
      </c>
      <c r="I11" s="4">
        <f t="shared" si="2"/>
        <v>15.441176470588236</v>
      </c>
      <c r="J11" s="4" t="str">
        <f t="shared" si="3"/>
        <v>Moderate</v>
      </c>
      <c r="K11" s="4" t="str">
        <f t="shared" si="4"/>
        <v>Young</v>
      </c>
    </row>
    <row r="12" spans="1:13" x14ac:dyDescent="0.3">
      <c r="A12" s="3">
        <v>12</v>
      </c>
      <c r="B12" s="3">
        <v>15</v>
      </c>
      <c r="C12" s="3">
        <v>3.1</v>
      </c>
      <c r="D12" s="3">
        <v>5.8</v>
      </c>
      <c r="E12" s="3">
        <v>96.2</v>
      </c>
      <c r="F12" s="3">
        <v>0.5</v>
      </c>
      <c r="G12" s="4" t="str">
        <f t="shared" si="0"/>
        <v>Normal</v>
      </c>
      <c r="H12" s="4" t="str">
        <f t="shared" si="1"/>
        <v>Excellent</v>
      </c>
      <c r="I12" s="4">
        <f t="shared" si="2"/>
        <v>31.032258064516128</v>
      </c>
      <c r="J12" s="4" t="str">
        <f t="shared" si="3"/>
        <v>Highly Efficient</v>
      </c>
      <c r="K12" s="4" t="str">
        <f t="shared" si="4"/>
        <v>Young</v>
      </c>
    </row>
    <row r="13" spans="1:13" x14ac:dyDescent="0.3">
      <c r="A13" s="3">
        <v>14</v>
      </c>
      <c r="B13" s="3">
        <v>14</v>
      </c>
      <c r="C13" s="3">
        <v>2.2000000000000002</v>
      </c>
      <c r="D13" s="3">
        <v>2</v>
      </c>
      <c r="E13" s="3">
        <v>74.900000000000006</v>
      </c>
      <c r="F13" s="3">
        <v>1.3</v>
      </c>
      <c r="G13" s="4" t="str">
        <f t="shared" si="0"/>
        <v>Normal</v>
      </c>
      <c r="H13" s="4" t="str">
        <f t="shared" si="1"/>
        <v>Good</v>
      </c>
      <c r="I13" s="4">
        <f t="shared" si="2"/>
        <v>34.045454545454547</v>
      </c>
      <c r="J13" s="4" t="str">
        <f t="shared" si="3"/>
        <v>Highly Efficient</v>
      </c>
      <c r="K13" s="4" t="str">
        <f t="shared" si="4"/>
        <v>senior</v>
      </c>
    </row>
    <row r="14" spans="1:13" x14ac:dyDescent="0.3">
      <c r="A14" s="3">
        <v>15</v>
      </c>
      <c r="B14" s="3">
        <v>16</v>
      </c>
      <c r="C14" s="3">
        <v>2.4</v>
      </c>
      <c r="D14" s="3">
        <v>1.6</v>
      </c>
      <c r="E14" s="3">
        <v>76.400000000000006</v>
      </c>
      <c r="F14" s="3">
        <v>1.7</v>
      </c>
      <c r="G14" s="4" t="str">
        <f t="shared" si="0"/>
        <v>Normal</v>
      </c>
      <c r="H14" s="4" t="str">
        <f t="shared" si="1"/>
        <v>Good</v>
      </c>
      <c r="I14" s="4">
        <f t="shared" si="2"/>
        <v>31.833333333333336</v>
      </c>
      <c r="J14" s="4" t="str">
        <f t="shared" si="3"/>
        <v>Highly Efficient</v>
      </c>
      <c r="K14" s="4" t="str">
        <f t="shared" si="4"/>
        <v>Young</v>
      </c>
    </row>
    <row r="15" spans="1:13" x14ac:dyDescent="0.3">
      <c r="A15" s="3">
        <v>16</v>
      </c>
      <c r="B15" s="3">
        <v>14</v>
      </c>
      <c r="C15" s="3">
        <v>3.1</v>
      </c>
      <c r="D15" s="3">
        <v>4.0999999999999996</v>
      </c>
      <c r="E15" s="3">
        <v>61.9</v>
      </c>
      <c r="F15" s="3">
        <v>2</v>
      </c>
      <c r="G15" s="4" t="str">
        <f t="shared" si="0"/>
        <v>Normal</v>
      </c>
      <c r="H15" s="4" t="str">
        <f t="shared" si="1"/>
        <v>Good</v>
      </c>
      <c r="I15" s="4">
        <f t="shared" si="2"/>
        <v>19.967741935483868</v>
      </c>
      <c r="J15" s="4" t="str">
        <f t="shared" si="3"/>
        <v>Moderate</v>
      </c>
      <c r="K15" s="4" t="str">
        <f t="shared" si="4"/>
        <v>senior</v>
      </c>
    </row>
    <row r="16" spans="1:13" x14ac:dyDescent="0.3">
      <c r="A16" s="3">
        <v>17</v>
      </c>
      <c r="B16" s="3">
        <v>16</v>
      </c>
      <c r="C16" s="3">
        <v>3.7</v>
      </c>
      <c r="D16" s="3">
        <v>5.6</v>
      </c>
      <c r="E16" s="3">
        <v>88.5</v>
      </c>
      <c r="F16" s="3">
        <v>2.2999999999999998</v>
      </c>
      <c r="G16" s="4" t="str">
        <f t="shared" si="0"/>
        <v>Normal</v>
      </c>
      <c r="H16" s="4" t="str">
        <f t="shared" si="1"/>
        <v>Excellent</v>
      </c>
      <c r="I16" s="4">
        <f t="shared" si="2"/>
        <v>23.918918918918919</v>
      </c>
      <c r="J16" s="4" t="str">
        <f t="shared" si="3"/>
        <v>High</v>
      </c>
      <c r="K16" s="4" t="str">
        <f t="shared" si="4"/>
        <v>Young</v>
      </c>
    </row>
    <row r="17" spans="1:11" x14ac:dyDescent="0.3">
      <c r="A17" s="3">
        <v>18</v>
      </c>
      <c r="B17" s="3">
        <v>17</v>
      </c>
      <c r="C17" s="3">
        <v>2.6</v>
      </c>
      <c r="D17" s="3">
        <v>4.4000000000000004</v>
      </c>
      <c r="E17" s="3">
        <v>72.7</v>
      </c>
      <c r="F17" s="3">
        <v>1.9</v>
      </c>
      <c r="G17" s="4" t="str">
        <f t="shared" si="0"/>
        <v>Normal</v>
      </c>
      <c r="H17" s="4" t="str">
        <f t="shared" si="1"/>
        <v>Good</v>
      </c>
      <c r="I17" s="4">
        <f t="shared" si="2"/>
        <v>27.961538461538463</v>
      </c>
      <c r="J17" s="4" t="str">
        <f t="shared" si="3"/>
        <v>Highly Efficient</v>
      </c>
      <c r="K17" s="4" t="str">
        <f t="shared" si="4"/>
        <v>Young</v>
      </c>
    </row>
    <row r="18" spans="1:11" x14ac:dyDescent="0.3">
      <c r="A18" s="3">
        <v>20</v>
      </c>
      <c r="B18" s="3">
        <v>16</v>
      </c>
      <c r="C18" s="3">
        <v>3.4</v>
      </c>
      <c r="D18" s="3">
        <v>4.7</v>
      </c>
      <c r="E18" s="3">
        <v>71.400000000000006</v>
      </c>
      <c r="F18" s="3">
        <v>1.6</v>
      </c>
      <c r="G18" s="4" t="str">
        <f t="shared" si="0"/>
        <v>Normal</v>
      </c>
      <c r="H18" s="4" t="str">
        <f t="shared" si="1"/>
        <v>Good</v>
      </c>
      <c r="I18" s="4">
        <f t="shared" si="2"/>
        <v>21.000000000000004</v>
      </c>
      <c r="J18" s="4" t="str">
        <f t="shared" si="3"/>
        <v>High</v>
      </c>
      <c r="K18" s="4" t="str">
        <f t="shared" si="4"/>
        <v>Young</v>
      </c>
    </row>
    <row r="19" spans="1:11" x14ac:dyDescent="0.3">
      <c r="A19" s="3">
        <v>21</v>
      </c>
      <c r="B19" s="3">
        <v>14</v>
      </c>
      <c r="C19" s="3">
        <v>2.7</v>
      </c>
      <c r="D19" s="3">
        <v>4.3</v>
      </c>
      <c r="E19" s="3">
        <v>77.599999999999994</v>
      </c>
      <c r="F19" s="3">
        <v>0.9</v>
      </c>
      <c r="G19" s="4" t="str">
        <f t="shared" si="0"/>
        <v>Normal</v>
      </c>
      <c r="H19" s="4" t="str">
        <f t="shared" si="1"/>
        <v>Good</v>
      </c>
      <c r="I19" s="4">
        <f t="shared" si="2"/>
        <v>28.740740740740737</v>
      </c>
      <c r="J19" s="4" t="str">
        <f t="shared" si="3"/>
        <v>Highly Efficient</v>
      </c>
      <c r="K19" s="4" t="str">
        <f t="shared" si="4"/>
        <v>senior</v>
      </c>
    </row>
    <row r="20" spans="1:11" x14ac:dyDescent="0.3">
      <c r="A20" s="3">
        <v>22</v>
      </c>
      <c r="B20" s="3">
        <v>17</v>
      </c>
      <c r="C20" s="3">
        <v>1.1000000000000001</v>
      </c>
      <c r="D20" s="3">
        <v>5.2</v>
      </c>
      <c r="E20" s="3">
        <v>70.099999999999994</v>
      </c>
      <c r="F20" s="3">
        <v>1.5</v>
      </c>
      <c r="G20" s="4" t="str">
        <f t="shared" si="0"/>
        <v>Normal</v>
      </c>
      <c r="H20" s="4" t="str">
        <f t="shared" si="1"/>
        <v>Good</v>
      </c>
      <c r="I20" s="4">
        <f t="shared" si="2"/>
        <v>63.72727272727272</v>
      </c>
      <c r="J20" s="4" t="str">
        <f t="shared" si="3"/>
        <v>Highly Efficient</v>
      </c>
      <c r="K20" s="4" t="str">
        <f t="shared" si="4"/>
        <v>Young</v>
      </c>
    </row>
    <row r="21" spans="1:11" x14ac:dyDescent="0.3">
      <c r="A21" s="3">
        <v>23</v>
      </c>
      <c r="B21" s="3">
        <v>16</v>
      </c>
      <c r="C21" s="3">
        <v>1.5</v>
      </c>
      <c r="D21" s="3">
        <v>6</v>
      </c>
      <c r="E21" s="3">
        <v>78.8</v>
      </c>
      <c r="F21" s="3">
        <v>1.4</v>
      </c>
      <c r="G21" s="4" t="str">
        <f t="shared" si="0"/>
        <v>Normal</v>
      </c>
      <c r="H21" s="4" t="str">
        <f t="shared" si="1"/>
        <v>Good</v>
      </c>
      <c r="I21" s="4">
        <f t="shared" si="2"/>
        <v>52.533333333333331</v>
      </c>
      <c r="J21" s="4" t="str">
        <f t="shared" si="3"/>
        <v>Highly Efficient</v>
      </c>
      <c r="K21" s="4" t="str">
        <f t="shared" si="4"/>
        <v>Young</v>
      </c>
    </row>
    <row r="22" spans="1:11" x14ac:dyDescent="0.3">
      <c r="A22" s="3">
        <v>24</v>
      </c>
      <c r="B22" s="3">
        <v>13</v>
      </c>
      <c r="C22" s="3">
        <v>3.2</v>
      </c>
      <c r="D22" s="3">
        <v>2.6</v>
      </c>
      <c r="E22" s="3">
        <v>53.2</v>
      </c>
      <c r="F22" s="3">
        <v>0</v>
      </c>
      <c r="G22" s="4" t="str">
        <f t="shared" si="0"/>
        <v>Normal</v>
      </c>
      <c r="H22" s="4" t="str">
        <f t="shared" si="1"/>
        <v>Average</v>
      </c>
      <c r="I22" s="4">
        <f t="shared" si="2"/>
        <v>16.625</v>
      </c>
      <c r="J22" s="4" t="str">
        <f t="shared" si="3"/>
        <v>Moderate</v>
      </c>
      <c r="K22" s="4" t="str">
        <f t="shared" si="4"/>
        <v>senior</v>
      </c>
    </row>
    <row r="23" spans="1:11" x14ac:dyDescent="0.3">
      <c r="A23" s="3">
        <v>25</v>
      </c>
      <c r="B23" s="3">
        <v>13</v>
      </c>
      <c r="C23" s="3">
        <v>0.8</v>
      </c>
      <c r="D23" s="3">
        <v>0.5</v>
      </c>
      <c r="E23" s="3">
        <v>62.5</v>
      </c>
      <c r="F23" s="3">
        <v>1.1000000000000001</v>
      </c>
      <c r="G23" s="4" t="str">
        <f t="shared" si="0"/>
        <v>Normal</v>
      </c>
      <c r="H23" s="4" t="str">
        <f t="shared" si="1"/>
        <v>Good</v>
      </c>
      <c r="I23" s="4">
        <f t="shared" si="2"/>
        <v>78.125</v>
      </c>
      <c r="J23" s="4" t="str">
        <f t="shared" si="3"/>
        <v>Highly Efficient</v>
      </c>
      <c r="K23" s="4" t="str">
        <f t="shared" si="4"/>
        <v>senior</v>
      </c>
    </row>
    <row r="24" spans="1:11" x14ac:dyDescent="0.3">
      <c r="A24" s="3">
        <v>26</v>
      </c>
      <c r="B24" s="3">
        <v>15</v>
      </c>
      <c r="C24" s="3">
        <v>2.6</v>
      </c>
      <c r="D24" s="3">
        <v>3.5</v>
      </c>
      <c r="E24" s="3">
        <v>48.6</v>
      </c>
      <c r="F24" s="3">
        <v>1.8</v>
      </c>
      <c r="G24" s="4" t="str">
        <f t="shared" si="0"/>
        <v>Normal</v>
      </c>
      <c r="H24" s="4" t="str">
        <f t="shared" si="1"/>
        <v>Average</v>
      </c>
      <c r="I24" s="4">
        <f t="shared" si="2"/>
        <v>18.692307692307693</v>
      </c>
      <c r="J24" s="4" t="str">
        <f t="shared" si="3"/>
        <v>Moderate</v>
      </c>
      <c r="K24" s="4" t="str">
        <f t="shared" si="4"/>
        <v>Young</v>
      </c>
    </row>
    <row r="25" spans="1:11" x14ac:dyDescent="0.3">
      <c r="A25" s="3">
        <v>27</v>
      </c>
      <c r="B25" s="3">
        <v>15</v>
      </c>
      <c r="C25" s="3">
        <v>3.5</v>
      </c>
      <c r="D25" s="3">
        <v>2.5</v>
      </c>
      <c r="E25" s="3">
        <v>90</v>
      </c>
      <c r="F25" s="3">
        <v>1.2</v>
      </c>
      <c r="G25" s="4" t="str">
        <f t="shared" si="0"/>
        <v>Normal</v>
      </c>
      <c r="H25" s="4" t="str">
        <f t="shared" si="1"/>
        <v>Excellent</v>
      </c>
      <c r="I25" s="4">
        <f t="shared" si="2"/>
        <v>25.714285714285715</v>
      </c>
      <c r="J25" s="4" t="str">
        <f t="shared" si="3"/>
        <v>Highly Efficient</v>
      </c>
      <c r="K25" s="4" t="str">
        <f t="shared" si="4"/>
        <v>Young</v>
      </c>
    </row>
    <row r="26" spans="1:11" x14ac:dyDescent="0.3">
      <c r="A26" s="3">
        <v>28</v>
      </c>
      <c r="B26" s="3">
        <v>14</v>
      </c>
      <c r="C26" s="3">
        <v>2.7</v>
      </c>
      <c r="D26" s="3">
        <v>5.2</v>
      </c>
      <c r="E26" s="3">
        <v>89.8</v>
      </c>
      <c r="F26" s="3">
        <v>1</v>
      </c>
      <c r="G26" s="4" t="str">
        <f t="shared" si="0"/>
        <v>Normal</v>
      </c>
      <c r="H26" s="4" t="str">
        <f t="shared" si="1"/>
        <v>Excellent</v>
      </c>
      <c r="I26" s="4">
        <f t="shared" si="2"/>
        <v>33.25925925925926</v>
      </c>
      <c r="J26" s="4" t="str">
        <f t="shared" si="3"/>
        <v>Highly Efficient</v>
      </c>
      <c r="K26" s="4" t="str">
        <f t="shared" si="4"/>
        <v>senior</v>
      </c>
    </row>
    <row r="27" spans="1:11" x14ac:dyDescent="0.3">
      <c r="A27" s="3">
        <v>29</v>
      </c>
      <c r="B27" s="3">
        <v>16</v>
      </c>
      <c r="C27" s="3">
        <v>1.9</v>
      </c>
      <c r="D27" s="3">
        <v>2.9</v>
      </c>
      <c r="E27" s="3">
        <v>76.3</v>
      </c>
      <c r="F27" s="3">
        <v>2.2000000000000002</v>
      </c>
      <c r="G27" s="4" t="str">
        <f t="shared" si="0"/>
        <v>Normal</v>
      </c>
      <c r="H27" s="4" t="str">
        <f t="shared" si="1"/>
        <v>Good</v>
      </c>
      <c r="I27" s="4">
        <f t="shared" si="2"/>
        <v>40.157894736842103</v>
      </c>
      <c r="J27" s="4" t="str">
        <f t="shared" si="3"/>
        <v>Highly Efficient</v>
      </c>
      <c r="K27" s="4" t="str">
        <f t="shared" si="4"/>
        <v>Young</v>
      </c>
    </row>
    <row r="28" spans="1:11" x14ac:dyDescent="0.3">
      <c r="A28" s="3">
        <v>30</v>
      </c>
      <c r="B28" s="3">
        <v>16</v>
      </c>
      <c r="C28" s="3">
        <v>1.7</v>
      </c>
      <c r="D28" s="3">
        <v>1.2</v>
      </c>
      <c r="E28" s="3">
        <v>59.9</v>
      </c>
      <c r="F28" s="3">
        <v>0.8</v>
      </c>
      <c r="G28" s="4" t="str">
        <f t="shared" si="0"/>
        <v>Normal</v>
      </c>
      <c r="H28" s="4" t="str">
        <f t="shared" si="1"/>
        <v>Average</v>
      </c>
      <c r="I28" s="4">
        <f t="shared" si="2"/>
        <v>35.235294117647058</v>
      </c>
      <c r="J28" s="4" t="str">
        <f t="shared" si="3"/>
        <v>Highly Efficient</v>
      </c>
      <c r="K28" s="4" t="str">
        <f t="shared" si="4"/>
        <v>Young</v>
      </c>
    </row>
    <row r="29" spans="1:11" x14ac:dyDescent="0.3">
      <c r="A29" s="3">
        <v>31</v>
      </c>
      <c r="B29" s="3">
        <v>15</v>
      </c>
      <c r="C29" s="3">
        <v>3.3</v>
      </c>
      <c r="D29" s="3">
        <v>3.1</v>
      </c>
      <c r="E29" s="3">
        <v>93.9</v>
      </c>
      <c r="F29" s="3">
        <v>2.1</v>
      </c>
      <c r="G29" s="4" t="str">
        <f t="shared" si="0"/>
        <v>Normal</v>
      </c>
      <c r="H29" s="4" t="str">
        <f t="shared" si="1"/>
        <v>Excellent</v>
      </c>
      <c r="I29" s="4">
        <f t="shared" si="2"/>
        <v>28.454545454545457</v>
      </c>
      <c r="J29" s="4" t="str">
        <f t="shared" si="3"/>
        <v>Highly Efficient</v>
      </c>
      <c r="K29" s="4" t="str">
        <f t="shared" si="4"/>
        <v>Young</v>
      </c>
    </row>
    <row r="30" spans="1:11" x14ac:dyDescent="0.3">
      <c r="A30" s="3">
        <v>32</v>
      </c>
      <c r="B30" s="3">
        <v>16</v>
      </c>
      <c r="C30" s="3">
        <v>3</v>
      </c>
      <c r="D30" s="3">
        <v>1.8</v>
      </c>
      <c r="E30" s="3">
        <v>64</v>
      </c>
      <c r="F30" s="3">
        <v>0.4</v>
      </c>
      <c r="G30" s="4" t="str">
        <f t="shared" si="0"/>
        <v>Normal</v>
      </c>
      <c r="H30" s="4" t="str">
        <f t="shared" si="1"/>
        <v>Good</v>
      </c>
      <c r="I30" s="4">
        <f t="shared" si="2"/>
        <v>21.333333333333332</v>
      </c>
      <c r="J30" s="4" t="str">
        <f t="shared" si="3"/>
        <v>High</v>
      </c>
      <c r="K30" s="4" t="str">
        <f t="shared" si="4"/>
        <v>Young</v>
      </c>
    </row>
    <row r="31" spans="1:11" x14ac:dyDescent="0.3">
      <c r="A31" s="3">
        <v>33</v>
      </c>
      <c r="B31" s="3">
        <v>16</v>
      </c>
      <c r="C31" s="3">
        <v>2.2000000000000002</v>
      </c>
      <c r="D31" s="3">
        <v>6.4</v>
      </c>
      <c r="E31" s="3">
        <v>67.900000000000006</v>
      </c>
      <c r="F31" s="3">
        <v>3.7</v>
      </c>
      <c r="G31" s="4" t="str">
        <f t="shared" si="0"/>
        <v>Normal</v>
      </c>
      <c r="H31" s="4" t="str">
        <f t="shared" si="1"/>
        <v>Good</v>
      </c>
      <c r="I31" s="4">
        <f t="shared" si="2"/>
        <v>30.863636363636363</v>
      </c>
      <c r="J31" s="4" t="str">
        <f t="shared" si="3"/>
        <v>Highly Efficient</v>
      </c>
      <c r="K31" s="4" t="str">
        <f t="shared" si="4"/>
        <v>Young</v>
      </c>
    </row>
    <row r="32" spans="1:11" x14ac:dyDescent="0.3">
      <c r="A32" s="3">
        <v>34</v>
      </c>
      <c r="B32" s="3">
        <v>13</v>
      </c>
      <c r="C32" s="3">
        <v>3.6</v>
      </c>
      <c r="D32" s="3">
        <v>4.7</v>
      </c>
      <c r="E32" s="3">
        <v>71.599999999999994</v>
      </c>
      <c r="F32" s="3">
        <v>1.3</v>
      </c>
      <c r="G32" s="4" t="str">
        <f t="shared" si="0"/>
        <v>Normal</v>
      </c>
      <c r="H32" s="4" t="str">
        <f t="shared" si="1"/>
        <v>Good</v>
      </c>
      <c r="I32" s="4">
        <f t="shared" si="2"/>
        <v>19.888888888888886</v>
      </c>
      <c r="J32" s="4" t="str">
        <f t="shared" si="3"/>
        <v>Moderate</v>
      </c>
      <c r="K32" s="4" t="str">
        <f t="shared" si="4"/>
        <v>senior</v>
      </c>
    </row>
    <row r="33" spans="1:11" x14ac:dyDescent="0.3">
      <c r="A33" s="3">
        <v>35</v>
      </c>
      <c r="B33" s="3">
        <v>15</v>
      </c>
      <c r="C33" s="3">
        <v>3.4</v>
      </c>
      <c r="D33" s="3">
        <v>5</v>
      </c>
      <c r="E33" s="3">
        <v>74.5</v>
      </c>
      <c r="F33" s="3">
        <v>1.2</v>
      </c>
      <c r="G33" s="4" t="str">
        <f t="shared" si="0"/>
        <v>Normal</v>
      </c>
      <c r="H33" s="4" t="str">
        <f t="shared" si="1"/>
        <v>Good</v>
      </c>
      <c r="I33" s="4">
        <f t="shared" si="2"/>
        <v>21.911764705882355</v>
      </c>
      <c r="J33" s="4" t="str">
        <f t="shared" si="3"/>
        <v>High</v>
      </c>
      <c r="K33" s="4" t="str">
        <f t="shared" si="4"/>
        <v>Young</v>
      </c>
    </row>
    <row r="34" spans="1:11" x14ac:dyDescent="0.3">
      <c r="A34" s="3">
        <v>36</v>
      </c>
      <c r="B34" s="3">
        <v>17</v>
      </c>
      <c r="C34" s="3">
        <v>4.3</v>
      </c>
      <c r="D34" s="3">
        <v>4.8</v>
      </c>
      <c r="E34" s="3">
        <v>76.400000000000006</v>
      </c>
      <c r="F34" s="3">
        <v>2.4</v>
      </c>
      <c r="G34" s="4" t="str">
        <f t="shared" si="0"/>
        <v>High screen Time</v>
      </c>
      <c r="H34" s="4" t="str">
        <f t="shared" si="1"/>
        <v>Good</v>
      </c>
      <c r="I34" s="4">
        <f t="shared" si="2"/>
        <v>17.767441860465119</v>
      </c>
      <c r="J34" s="4" t="str">
        <f t="shared" si="3"/>
        <v>Moderate</v>
      </c>
      <c r="K34" s="4" t="str">
        <f t="shared" si="4"/>
        <v>Young</v>
      </c>
    </row>
    <row r="35" spans="1:11" x14ac:dyDescent="0.3">
      <c r="A35" s="3">
        <v>37</v>
      </c>
      <c r="B35" s="3">
        <v>15</v>
      </c>
      <c r="C35" s="3">
        <v>3.1</v>
      </c>
      <c r="D35" s="3">
        <v>5.3</v>
      </c>
      <c r="E35" s="3">
        <v>76.8</v>
      </c>
      <c r="F35" s="3">
        <v>1.2</v>
      </c>
      <c r="G35" s="4" t="str">
        <f t="shared" si="0"/>
        <v>Normal</v>
      </c>
      <c r="H35" s="4" t="str">
        <f t="shared" si="1"/>
        <v>Good</v>
      </c>
      <c r="I35" s="4">
        <f t="shared" si="2"/>
        <v>24.774193548387096</v>
      </c>
      <c r="J35" s="4" t="str">
        <f t="shared" si="3"/>
        <v>High</v>
      </c>
      <c r="K35" s="4" t="str">
        <f t="shared" si="4"/>
        <v>Young</v>
      </c>
    </row>
    <row r="36" spans="1:11" x14ac:dyDescent="0.3">
      <c r="A36" s="3">
        <v>39</v>
      </c>
      <c r="B36" s="3">
        <v>13</v>
      </c>
      <c r="C36" s="3">
        <v>2.4</v>
      </c>
      <c r="D36" s="3">
        <v>3.2</v>
      </c>
      <c r="E36" s="3">
        <v>76.7</v>
      </c>
      <c r="F36" s="3">
        <v>1.8</v>
      </c>
      <c r="G36" s="4" t="str">
        <f t="shared" si="0"/>
        <v>Normal</v>
      </c>
      <c r="H36" s="4" t="str">
        <f t="shared" si="1"/>
        <v>Good</v>
      </c>
      <c r="I36" s="4">
        <f t="shared" si="2"/>
        <v>31.958333333333336</v>
      </c>
      <c r="J36" s="4" t="str">
        <f t="shared" si="3"/>
        <v>Highly Efficient</v>
      </c>
      <c r="K36" s="4" t="str">
        <f t="shared" si="4"/>
        <v>senior</v>
      </c>
    </row>
    <row r="37" spans="1:11" x14ac:dyDescent="0.3">
      <c r="A37" s="3">
        <v>41</v>
      </c>
      <c r="B37" s="3">
        <v>16</v>
      </c>
      <c r="C37" s="3">
        <v>2.7</v>
      </c>
      <c r="D37" s="3">
        <v>2.7</v>
      </c>
      <c r="E37" s="3">
        <v>75.8</v>
      </c>
      <c r="F37" s="3">
        <v>1.3</v>
      </c>
      <c r="G37" s="4" t="str">
        <f t="shared" si="0"/>
        <v>Normal</v>
      </c>
      <c r="H37" s="4" t="str">
        <f t="shared" si="1"/>
        <v>Good</v>
      </c>
      <c r="I37" s="4">
        <f t="shared" si="2"/>
        <v>28.074074074074073</v>
      </c>
      <c r="J37" s="4" t="str">
        <f t="shared" si="3"/>
        <v>Highly Efficient</v>
      </c>
      <c r="K37" s="4" t="str">
        <f t="shared" si="4"/>
        <v>Young</v>
      </c>
    </row>
    <row r="38" spans="1:11" x14ac:dyDescent="0.3">
      <c r="A38" s="3">
        <v>43</v>
      </c>
      <c r="B38" s="3">
        <v>16</v>
      </c>
      <c r="C38" s="3">
        <v>1.2</v>
      </c>
      <c r="D38" s="3">
        <v>0.2</v>
      </c>
      <c r="E38" s="3">
        <v>77.599999999999994</v>
      </c>
      <c r="F38" s="3">
        <v>1.7</v>
      </c>
      <c r="G38" s="4" t="str">
        <f t="shared" si="0"/>
        <v>Normal</v>
      </c>
      <c r="H38" s="4" t="str">
        <f t="shared" si="1"/>
        <v>Good</v>
      </c>
      <c r="I38" s="4">
        <f t="shared" si="2"/>
        <v>64.666666666666671</v>
      </c>
      <c r="J38" s="4" t="str">
        <f t="shared" si="3"/>
        <v>Highly Efficient</v>
      </c>
      <c r="K38" s="4" t="str">
        <f t="shared" si="4"/>
        <v>Young</v>
      </c>
    </row>
    <row r="39" spans="1:11" x14ac:dyDescent="0.3">
      <c r="A39" s="3">
        <v>44</v>
      </c>
      <c r="B39" s="3">
        <v>14</v>
      </c>
      <c r="C39" s="3">
        <v>2.5</v>
      </c>
      <c r="D39" s="3">
        <v>5.7</v>
      </c>
      <c r="E39" s="3">
        <v>76.400000000000006</v>
      </c>
      <c r="F39" s="3">
        <v>1.8</v>
      </c>
      <c r="G39" s="4" t="str">
        <f t="shared" si="0"/>
        <v>Normal</v>
      </c>
      <c r="H39" s="4" t="str">
        <f t="shared" si="1"/>
        <v>Good</v>
      </c>
      <c r="I39" s="4">
        <f t="shared" si="2"/>
        <v>30.560000000000002</v>
      </c>
      <c r="J39" s="4" t="str">
        <f t="shared" si="3"/>
        <v>Highly Efficient</v>
      </c>
      <c r="K39" s="4" t="str">
        <f t="shared" si="4"/>
        <v>senior</v>
      </c>
    </row>
    <row r="40" spans="1:11" x14ac:dyDescent="0.3">
      <c r="A40" s="3">
        <v>45</v>
      </c>
      <c r="B40" s="3">
        <v>14</v>
      </c>
      <c r="C40" s="3">
        <v>3.8</v>
      </c>
      <c r="D40" s="3">
        <v>1.2</v>
      </c>
      <c r="E40" s="3">
        <v>65.599999999999994</v>
      </c>
      <c r="F40" s="3">
        <v>1.9</v>
      </c>
      <c r="G40" s="4" t="str">
        <f t="shared" si="0"/>
        <v>Normal</v>
      </c>
      <c r="H40" s="4" t="str">
        <f t="shared" si="1"/>
        <v>Good</v>
      </c>
      <c r="I40" s="4">
        <f t="shared" si="2"/>
        <v>17.263157894736842</v>
      </c>
      <c r="J40" s="4" t="str">
        <f t="shared" si="3"/>
        <v>Moderate</v>
      </c>
      <c r="K40" s="4" t="str">
        <f t="shared" si="4"/>
        <v>senior</v>
      </c>
    </row>
    <row r="41" spans="1:11" x14ac:dyDescent="0.3">
      <c r="A41" s="3">
        <v>46</v>
      </c>
      <c r="B41" s="3">
        <v>13</v>
      </c>
      <c r="C41" s="3">
        <v>1.8</v>
      </c>
      <c r="D41" s="3">
        <v>4.9000000000000004</v>
      </c>
      <c r="E41" s="3">
        <v>74.599999999999994</v>
      </c>
      <c r="F41" s="3">
        <v>1.6</v>
      </c>
      <c r="G41" s="4" t="str">
        <f t="shared" si="0"/>
        <v>Normal</v>
      </c>
      <c r="H41" s="4" t="str">
        <f t="shared" si="1"/>
        <v>Good</v>
      </c>
      <c r="I41" s="4">
        <f t="shared" si="2"/>
        <v>41.444444444444443</v>
      </c>
      <c r="J41" s="4" t="str">
        <f t="shared" si="3"/>
        <v>Highly Efficient</v>
      </c>
      <c r="K41" s="4" t="str">
        <f t="shared" si="4"/>
        <v>senior</v>
      </c>
    </row>
    <row r="42" spans="1:11" x14ac:dyDescent="0.3">
      <c r="A42" s="3">
        <v>47</v>
      </c>
      <c r="B42" s="3">
        <v>14</v>
      </c>
      <c r="C42" s="3">
        <v>1.5</v>
      </c>
      <c r="D42" s="3">
        <v>3.7</v>
      </c>
      <c r="E42" s="3">
        <v>76.5</v>
      </c>
      <c r="F42" s="3">
        <v>1.9</v>
      </c>
      <c r="G42" s="4" t="str">
        <f t="shared" si="0"/>
        <v>Normal</v>
      </c>
      <c r="H42" s="4" t="str">
        <f t="shared" si="1"/>
        <v>Good</v>
      </c>
      <c r="I42" s="4">
        <f t="shared" si="2"/>
        <v>51</v>
      </c>
      <c r="J42" s="4" t="str">
        <f t="shared" si="3"/>
        <v>Highly Efficient</v>
      </c>
      <c r="K42" s="4" t="str">
        <f t="shared" si="4"/>
        <v>senior</v>
      </c>
    </row>
    <row r="43" spans="1:11" x14ac:dyDescent="0.3">
      <c r="A43" s="3">
        <v>48</v>
      </c>
      <c r="B43" s="3">
        <v>17</v>
      </c>
      <c r="C43" s="3">
        <v>3.6</v>
      </c>
      <c r="D43" s="3">
        <v>4.4000000000000004</v>
      </c>
      <c r="E43" s="3">
        <v>57.1</v>
      </c>
      <c r="F43" s="3">
        <v>1.4</v>
      </c>
      <c r="G43" s="4" t="str">
        <f t="shared" si="0"/>
        <v>Normal</v>
      </c>
      <c r="H43" s="4" t="str">
        <f t="shared" si="1"/>
        <v>Average</v>
      </c>
      <c r="I43" s="4">
        <f t="shared" si="2"/>
        <v>15.861111111111111</v>
      </c>
      <c r="J43" s="4" t="str">
        <f t="shared" si="3"/>
        <v>Moderate</v>
      </c>
      <c r="K43" s="4" t="str">
        <f t="shared" si="4"/>
        <v>Young</v>
      </c>
    </row>
    <row r="44" spans="1:11" x14ac:dyDescent="0.3">
      <c r="A44" s="3">
        <v>49</v>
      </c>
      <c r="B44" s="3">
        <v>14</v>
      </c>
      <c r="C44" s="3">
        <v>3.1</v>
      </c>
      <c r="D44" s="3">
        <v>3.3</v>
      </c>
      <c r="E44" s="3">
        <v>67.3</v>
      </c>
      <c r="F44" s="3">
        <v>1.5</v>
      </c>
      <c r="G44" s="4" t="str">
        <f t="shared" si="0"/>
        <v>Normal</v>
      </c>
      <c r="H44" s="4" t="str">
        <f t="shared" si="1"/>
        <v>Good</v>
      </c>
      <c r="I44" s="4">
        <f t="shared" si="2"/>
        <v>21.709677419354836</v>
      </c>
      <c r="J44" s="4" t="str">
        <f t="shared" si="3"/>
        <v>High</v>
      </c>
      <c r="K44" s="4" t="str">
        <f t="shared" si="4"/>
        <v>senior</v>
      </c>
    </row>
    <row r="45" spans="1:11" x14ac:dyDescent="0.3">
      <c r="A45" s="3">
        <v>50</v>
      </c>
      <c r="B45" s="3">
        <v>16</v>
      </c>
      <c r="C45" s="3">
        <v>5.6</v>
      </c>
      <c r="D45" s="3">
        <v>4.3</v>
      </c>
      <c r="E45" s="3">
        <v>76.099999999999994</v>
      </c>
      <c r="F45" s="3">
        <v>0.6</v>
      </c>
      <c r="G45" s="4" t="str">
        <f t="shared" si="0"/>
        <v>High screen Time</v>
      </c>
      <c r="H45" s="4" t="str">
        <f t="shared" si="1"/>
        <v>Good</v>
      </c>
      <c r="I45" s="4">
        <f t="shared" si="2"/>
        <v>13.589285714285714</v>
      </c>
      <c r="J45" s="4" t="str">
        <f t="shared" si="3"/>
        <v>Low</v>
      </c>
      <c r="K45" s="4" t="str">
        <f t="shared" si="4"/>
        <v>Young</v>
      </c>
    </row>
    <row r="46" spans="1:11" x14ac:dyDescent="0.3">
      <c r="A46" s="3">
        <v>51</v>
      </c>
      <c r="B46" s="3">
        <v>16</v>
      </c>
      <c r="C46" s="3">
        <v>1.2</v>
      </c>
      <c r="D46" s="3">
        <v>3.3</v>
      </c>
      <c r="E46" s="3">
        <v>87.1</v>
      </c>
      <c r="F46" s="3">
        <v>1.7</v>
      </c>
      <c r="G46" s="4" t="str">
        <f t="shared" si="0"/>
        <v>Normal</v>
      </c>
      <c r="H46" s="4" t="str">
        <f t="shared" si="1"/>
        <v>Excellent</v>
      </c>
      <c r="I46" s="4">
        <f t="shared" si="2"/>
        <v>72.583333333333329</v>
      </c>
      <c r="J46" s="4" t="str">
        <f t="shared" si="3"/>
        <v>Highly Efficient</v>
      </c>
      <c r="K46" s="4" t="str">
        <f t="shared" si="4"/>
        <v>Young</v>
      </c>
    </row>
    <row r="47" spans="1:11" x14ac:dyDescent="0.3">
      <c r="A47" s="3">
        <v>52</v>
      </c>
      <c r="B47" s="3">
        <v>16</v>
      </c>
      <c r="C47" s="3">
        <v>3.2</v>
      </c>
      <c r="D47" s="3">
        <v>3.2</v>
      </c>
      <c r="E47" s="3">
        <v>78.2</v>
      </c>
      <c r="F47" s="3">
        <v>0.1</v>
      </c>
      <c r="G47" s="4" t="str">
        <f t="shared" si="0"/>
        <v>Normal</v>
      </c>
      <c r="H47" s="4" t="str">
        <f t="shared" si="1"/>
        <v>Good</v>
      </c>
      <c r="I47" s="4">
        <f t="shared" si="2"/>
        <v>24.4375</v>
      </c>
      <c r="J47" s="4" t="str">
        <f t="shared" si="3"/>
        <v>High</v>
      </c>
      <c r="K47" s="4" t="str">
        <f t="shared" si="4"/>
        <v>Young</v>
      </c>
    </row>
    <row r="48" spans="1:11" x14ac:dyDescent="0.3">
      <c r="A48" s="3">
        <v>53</v>
      </c>
      <c r="B48" s="3">
        <v>16</v>
      </c>
      <c r="C48" s="3">
        <v>2.8</v>
      </c>
      <c r="D48" s="3">
        <v>2.7</v>
      </c>
      <c r="E48" s="3">
        <v>87.7</v>
      </c>
      <c r="F48" s="3">
        <v>1.7</v>
      </c>
      <c r="G48" s="4" t="str">
        <f t="shared" si="0"/>
        <v>Normal</v>
      </c>
      <c r="H48" s="4" t="str">
        <f t="shared" si="1"/>
        <v>Excellent</v>
      </c>
      <c r="I48" s="4">
        <f t="shared" si="2"/>
        <v>31.321428571428573</v>
      </c>
      <c r="J48" s="4" t="str">
        <f t="shared" si="3"/>
        <v>Highly Efficient</v>
      </c>
      <c r="K48" s="4" t="str">
        <f t="shared" si="4"/>
        <v>Young</v>
      </c>
    </row>
    <row r="49" spans="1:11" x14ac:dyDescent="0.3">
      <c r="A49" s="3">
        <v>55</v>
      </c>
      <c r="B49" s="3">
        <v>15</v>
      </c>
      <c r="C49" s="3">
        <v>3.4</v>
      </c>
      <c r="D49" s="3">
        <v>4.5999999999999996</v>
      </c>
      <c r="E49" s="3">
        <v>72.5</v>
      </c>
      <c r="F49" s="3">
        <v>1.8</v>
      </c>
      <c r="G49" s="4" t="str">
        <f t="shared" si="0"/>
        <v>Normal</v>
      </c>
      <c r="H49" s="4" t="str">
        <f t="shared" si="1"/>
        <v>Good</v>
      </c>
      <c r="I49" s="4">
        <f t="shared" si="2"/>
        <v>21.323529411764707</v>
      </c>
      <c r="J49" s="4" t="str">
        <f t="shared" si="3"/>
        <v>High</v>
      </c>
      <c r="K49" s="4" t="str">
        <f t="shared" si="4"/>
        <v>Young</v>
      </c>
    </row>
    <row r="50" spans="1:11" x14ac:dyDescent="0.3">
      <c r="A50" s="3">
        <v>56</v>
      </c>
      <c r="B50" s="3">
        <v>13</v>
      </c>
      <c r="C50" s="3">
        <v>2.5</v>
      </c>
      <c r="D50" s="3">
        <v>4.3</v>
      </c>
      <c r="E50" s="3">
        <v>78.099999999999994</v>
      </c>
      <c r="F50" s="3">
        <v>0.7</v>
      </c>
      <c r="G50" s="4" t="str">
        <f t="shared" si="0"/>
        <v>Normal</v>
      </c>
      <c r="H50" s="4" t="str">
        <f t="shared" si="1"/>
        <v>Good</v>
      </c>
      <c r="I50" s="4">
        <f t="shared" si="2"/>
        <v>31.24</v>
      </c>
      <c r="J50" s="4" t="str">
        <f t="shared" si="3"/>
        <v>Highly Efficient</v>
      </c>
      <c r="K50" s="4" t="str">
        <f t="shared" si="4"/>
        <v>senior</v>
      </c>
    </row>
    <row r="51" spans="1:11" x14ac:dyDescent="0.3">
      <c r="A51" s="3">
        <v>57</v>
      </c>
      <c r="B51" s="3">
        <v>16</v>
      </c>
      <c r="C51" s="3">
        <v>0.6</v>
      </c>
      <c r="D51" s="3">
        <v>2.7</v>
      </c>
      <c r="E51" s="3">
        <v>46.7</v>
      </c>
      <c r="F51" s="3">
        <v>0</v>
      </c>
      <c r="G51" s="4" t="str">
        <f t="shared" si="0"/>
        <v>Normal</v>
      </c>
      <c r="H51" s="4" t="str">
        <f t="shared" si="1"/>
        <v>Average</v>
      </c>
      <c r="I51" s="4">
        <f t="shared" si="2"/>
        <v>77.833333333333343</v>
      </c>
      <c r="J51" s="4" t="str">
        <f t="shared" si="3"/>
        <v>Highly Efficient</v>
      </c>
      <c r="K51" s="4" t="str">
        <f t="shared" si="4"/>
        <v>Young</v>
      </c>
    </row>
    <row r="52" spans="1:11" x14ac:dyDescent="0.3">
      <c r="A52" s="3">
        <v>59</v>
      </c>
      <c r="B52" s="3">
        <v>16</v>
      </c>
      <c r="C52" s="3">
        <v>3.9</v>
      </c>
      <c r="D52" s="3">
        <v>2.5</v>
      </c>
      <c r="E52" s="3">
        <v>51.4</v>
      </c>
      <c r="F52" s="3">
        <v>0.7</v>
      </c>
      <c r="G52" s="4" t="str">
        <f t="shared" si="0"/>
        <v>Normal</v>
      </c>
      <c r="H52" s="4" t="str">
        <f t="shared" si="1"/>
        <v>Average</v>
      </c>
      <c r="I52" s="4">
        <f t="shared" si="2"/>
        <v>13.179487179487179</v>
      </c>
      <c r="J52" s="4" t="str">
        <f t="shared" si="3"/>
        <v>Low</v>
      </c>
      <c r="K52" s="4" t="str">
        <f t="shared" si="4"/>
        <v>Young</v>
      </c>
    </row>
    <row r="53" spans="1:11" x14ac:dyDescent="0.3">
      <c r="A53" s="3">
        <v>60</v>
      </c>
      <c r="B53" s="3">
        <v>14</v>
      </c>
      <c r="C53" s="3">
        <v>3.7</v>
      </c>
      <c r="D53" s="3">
        <v>3.3</v>
      </c>
      <c r="E53" s="3">
        <v>80</v>
      </c>
      <c r="F53" s="3">
        <v>0.1</v>
      </c>
      <c r="G53" s="4" t="str">
        <f t="shared" si="0"/>
        <v>Normal</v>
      </c>
      <c r="H53" s="4" t="str">
        <f t="shared" si="1"/>
        <v>Excellent</v>
      </c>
      <c r="I53" s="4">
        <f t="shared" si="2"/>
        <v>21.621621621621621</v>
      </c>
      <c r="J53" s="4" t="str">
        <f t="shared" si="3"/>
        <v>High</v>
      </c>
      <c r="K53" s="4" t="str">
        <f t="shared" si="4"/>
        <v>senior</v>
      </c>
    </row>
    <row r="54" spans="1:11" x14ac:dyDescent="0.3">
      <c r="A54" s="3">
        <v>61</v>
      </c>
      <c r="B54" s="3">
        <v>14</v>
      </c>
      <c r="C54" s="3">
        <v>2.1</v>
      </c>
      <c r="D54" s="3">
        <v>2.2000000000000002</v>
      </c>
      <c r="E54" s="3">
        <v>76.900000000000006</v>
      </c>
      <c r="F54" s="3">
        <v>2.1</v>
      </c>
      <c r="G54" s="4" t="str">
        <f t="shared" si="0"/>
        <v>Normal</v>
      </c>
      <c r="H54" s="4" t="str">
        <f t="shared" si="1"/>
        <v>Good</v>
      </c>
      <c r="I54" s="4">
        <f t="shared" si="2"/>
        <v>36.61904761904762</v>
      </c>
      <c r="J54" s="4" t="str">
        <f t="shared" si="3"/>
        <v>Highly Efficient</v>
      </c>
      <c r="K54" s="4" t="str">
        <f t="shared" si="4"/>
        <v>senior</v>
      </c>
    </row>
    <row r="55" spans="1:11" x14ac:dyDescent="0.3">
      <c r="A55" s="3">
        <v>62</v>
      </c>
      <c r="B55" s="3">
        <v>16</v>
      </c>
      <c r="C55" s="3">
        <v>3</v>
      </c>
      <c r="D55" s="3">
        <v>6.4</v>
      </c>
      <c r="E55" s="3">
        <v>46.6</v>
      </c>
      <c r="F55" s="3">
        <v>2.8</v>
      </c>
      <c r="G55" s="4" t="str">
        <f t="shared" si="0"/>
        <v>Normal</v>
      </c>
      <c r="H55" s="4" t="str">
        <f t="shared" si="1"/>
        <v>Average</v>
      </c>
      <c r="I55" s="4">
        <f t="shared" si="2"/>
        <v>15.533333333333333</v>
      </c>
      <c r="J55" s="4" t="str">
        <f t="shared" si="3"/>
        <v>Moderate</v>
      </c>
      <c r="K55" s="4" t="str">
        <f t="shared" si="4"/>
        <v>Young</v>
      </c>
    </row>
    <row r="56" spans="1:11" x14ac:dyDescent="0.3">
      <c r="A56" s="3">
        <v>65</v>
      </c>
      <c r="B56" s="3">
        <v>14</v>
      </c>
      <c r="C56" s="3">
        <v>2.5</v>
      </c>
      <c r="D56" s="3">
        <v>2</v>
      </c>
      <c r="E56" s="3">
        <v>82.1</v>
      </c>
      <c r="F56" s="3">
        <v>1.3</v>
      </c>
      <c r="G56" s="4" t="str">
        <f t="shared" si="0"/>
        <v>Normal</v>
      </c>
      <c r="H56" s="4" t="str">
        <f t="shared" si="1"/>
        <v>Excellent</v>
      </c>
      <c r="I56" s="4">
        <f t="shared" si="2"/>
        <v>32.839999999999996</v>
      </c>
      <c r="J56" s="4" t="str">
        <f t="shared" si="3"/>
        <v>Highly Efficient</v>
      </c>
      <c r="K56" s="4" t="str">
        <f t="shared" si="4"/>
        <v>senior</v>
      </c>
    </row>
    <row r="57" spans="1:11" x14ac:dyDescent="0.3">
      <c r="A57" s="3">
        <v>66</v>
      </c>
      <c r="B57" s="3">
        <v>16</v>
      </c>
      <c r="C57" s="3">
        <v>2.7</v>
      </c>
      <c r="D57" s="3">
        <v>2.8</v>
      </c>
      <c r="E57" s="3">
        <v>61.2</v>
      </c>
      <c r="F57" s="3">
        <v>1</v>
      </c>
      <c r="G57" s="4" t="str">
        <f t="shared" si="0"/>
        <v>Normal</v>
      </c>
      <c r="H57" s="4" t="str">
        <f t="shared" si="1"/>
        <v>Good</v>
      </c>
      <c r="I57" s="4">
        <f t="shared" si="2"/>
        <v>22.666666666666668</v>
      </c>
      <c r="J57" s="4" t="str">
        <f t="shared" si="3"/>
        <v>High</v>
      </c>
      <c r="K57" s="4" t="str">
        <f t="shared" si="4"/>
        <v>Young</v>
      </c>
    </row>
    <row r="58" spans="1:11" x14ac:dyDescent="0.3">
      <c r="A58" s="3">
        <v>67</v>
      </c>
      <c r="B58" s="3">
        <v>14</v>
      </c>
      <c r="C58" s="3">
        <v>3.1</v>
      </c>
      <c r="D58" s="3">
        <v>3.3</v>
      </c>
      <c r="E58" s="3">
        <v>61.2</v>
      </c>
      <c r="F58" s="3">
        <v>2</v>
      </c>
      <c r="G58" s="4" t="str">
        <f t="shared" si="0"/>
        <v>Normal</v>
      </c>
      <c r="H58" s="4" t="str">
        <f t="shared" si="1"/>
        <v>Good</v>
      </c>
      <c r="I58" s="4">
        <f t="shared" si="2"/>
        <v>19.741935483870968</v>
      </c>
      <c r="J58" s="4" t="str">
        <f t="shared" si="3"/>
        <v>Moderate</v>
      </c>
      <c r="K58" s="4" t="str">
        <f t="shared" si="4"/>
        <v>senior</v>
      </c>
    </row>
    <row r="59" spans="1:11" x14ac:dyDescent="0.3">
      <c r="A59" s="3">
        <v>68</v>
      </c>
      <c r="B59" s="3">
        <v>14</v>
      </c>
      <c r="C59" s="3">
        <v>2.2000000000000002</v>
      </c>
      <c r="D59" s="3">
        <v>3.9</v>
      </c>
      <c r="E59" s="3">
        <v>75.099999999999994</v>
      </c>
      <c r="F59" s="3">
        <v>2.2999999999999998</v>
      </c>
      <c r="G59" s="4" t="str">
        <f t="shared" si="0"/>
        <v>Normal</v>
      </c>
      <c r="H59" s="4" t="str">
        <f t="shared" si="1"/>
        <v>Good</v>
      </c>
      <c r="I59" s="4">
        <f t="shared" si="2"/>
        <v>34.136363636363633</v>
      </c>
      <c r="J59" s="4" t="str">
        <f t="shared" si="3"/>
        <v>Highly Efficient</v>
      </c>
      <c r="K59" s="4" t="str">
        <f t="shared" si="4"/>
        <v>senior</v>
      </c>
    </row>
    <row r="60" spans="1:11" x14ac:dyDescent="0.3">
      <c r="A60" s="3">
        <v>69</v>
      </c>
      <c r="B60" s="3">
        <v>16</v>
      </c>
      <c r="C60" s="3">
        <v>3.1</v>
      </c>
      <c r="D60" s="3">
        <v>3</v>
      </c>
      <c r="E60" s="3">
        <v>69.900000000000006</v>
      </c>
      <c r="F60" s="3">
        <v>0.8</v>
      </c>
      <c r="G60" s="4" t="str">
        <f t="shared" si="0"/>
        <v>Normal</v>
      </c>
      <c r="H60" s="4" t="str">
        <f t="shared" si="1"/>
        <v>Good</v>
      </c>
      <c r="I60" s="4">
        <f t="shared" si="2"/>
        <v>22.548387096774196</v>
      </c>
      <c r="J60" s="4" t="str">
        <f t="shared" si="3"/>
        <v>High</v>
      </c>
      <c r="K60" s="4" t="str">
        <f t="shared" si="4"/>
        <v>Young</v>
      </c>
    </row>
    <row r="61" spans="1:11" x14ac:dyDescent="0.3">
      <c r="A61" s="3">
        <v>70</v>
      </c>
      <c r="B61" s="3">
        <v>16</v>
      </c>
      <c r="C61" s="3">
        <v>0.6</v>
      </c>
      <c r="D61" s="3">
        <v>1.6</v>
      </c>
      <c r="E61" s="3">
        <v>80.5</v>
      </c>
      <c r="F61" s="3">
        <v>1.5</v>
      </c>
      <c r="G61" s="4" t="str">
        <f t="shared" si="0"/>
        <v>Normal</v>
      </c>
      <c r="H61" s="4" t="str">
        <f t="shared" si="1"/>
        <v>Excellent</v>
      </c>
      <c r="I61" s="4">
        <f t="shared" si="2"/>
        <v>134.16666666666669</v>
      </c>
      <c r="J61" s="4" t="str">
        <f t="shared" si="3"/>
        <v>Highly Efficient</v>
      </c>
      <c r="K61" s="4" t="str">
        <f t="shared" si="4"/>
        <v>Young</v>
      </c>
    </row>
    <row r="62" spans="1:11" x14ac:dyDescent="0.3">
      <c r="A62" s="3">
        <v>71</v>
      </c>
      <c r="B62" s="3">
        <v>13</v>
      </c>
      <c r="C62" s="3">
        <v>2.8</v>
      </c>
      <c r="D62" s="3">
        <v>1.7</v>
      </c>
      <c r="E62" s="3">
        <v>74.8</v>
      </c>
      <c r="F62" s="3">
        <v>2.5</v>
      </c>
      <c r="G62" s="4" t="str">
        <f t="shared" si="0"/>
        <v>Normal</v>
      </c>
      <c r="H62" s="4" t="str">
        <f t="shared" si="1"/>
        <v>Good</v>
      </c>
      <c r="I62" s="4">
        <f t="shared" si="2"/>
        <v>26.714285714285715</v>
      </c>
      <c r="J62" s="4" t="str">
        <f t="shared" si="3"/>
        <v>Highly Efficient</v>
      </c>
      <c r="K62" s="4" t="str">
        <f t="shared" si="4"/>
        <v>senior</v>
      </c>
    </row>
    <row r="63" spans="1:11" x14ac:dyDescent="0.3">
      <c r="A63" s="3">
        <v>72</v>
      </c>
      <c r="B63" s="3">
        <v>17</v>
      </c>
      <c r="C63" s="3">
        <v>2.6</v>
      </c>
      <c r="D63" s="3">
        <v>5</v>
      </c>
      <c r="E63" s="3">
        <v>85.8</v>
      </c>
      <c r="F63" s="3">
        <v>2.1</v>
      </c>
      <c r="G63" s="4" t="str">
        <f t="shared" si="0"/>
        <v>Normal</v>
      </c>
      <c r="H63" s="4" t="str">
        <f t="shared" si="1"/>
        <v>Excellent</v>
      </c>
      <c r="I63" s="4">
        <f t="shared" si="2"/>
        <v>33</v>
      </c>
      <c r="J63" s="4" t="str">
        <f t="shared" si="3"/>
        <v>Highly Efficient</v>
      </c>
      <c r="K63" s="4" t="str">
        <f t="shared" si="4"/>
        <v>Young</v>
      </c>
    </row>
    <row r="64" spans="1:11" x14ac:dyDescent="0.3">
      <c r="A64" s="3">
        <v>73</v>
      </c>
      <c r="B64" s="3">
        <v>17</v>
      </c>
      <c r="C64" s="3">
        <v>2.2999999999999998</v>
      </c>
      <c r="D64" s="3">
        <v>3.8</v>
      </c>
      <c r="E64" s="3">
        <v>79.7</v>
      </c>
      <c r="F64" s="3">
        <v>2.2000000000000002</v>
      </c>
      <c r="G64" s="4" t="str">
        <f t="shared" si="0"/>
        <v>Normal</v>
      </c>
      <c r="H64" s="4" t="str">
        <f t="shared" si="1"/>
        <v>Good</v>
      </c>
      <c r="I64" s="4">
        <f t="shared" si="2"/>
        <v>34.652173913043484</v>
      </c>
      <c r="J64" s="4" t="str">
        <f t="shared" si="3"/>
        <v>Highly Efficient</v>
      </c>
      <c r="K64" s="4" t="str">
        <f t="shared" si="4"/>
        <v>Young</v>
      </c>
    </row>
    <row r="65" spans="1:11" x14ac:dyDescent="0.3">
      <c r="A65" s="3">
        <v>74</v>
      </c>
      <c r="B65" s="3">
        <v>14</v>
      </c>
      <c r="C65" s="3">
        <v>2</v>
      </c>
      <c r="D65" s="3">
        <v>5</v>
      </c>
      <c r="E65" s="3">
        <v>77.2</v>
      </c>
      <c r="F65" s="3">
        <v>2.6</v>
      </c>
      <c r="G65" s="4" t="str">
        <f t="shared" si="0"/>
        <v>Normal</v>
      </c>
      <c r="H65" s="4" t="str">
        <f t="shared" si="1"/>
        <v>Good</v>
      </c>
      <c r="I65" s="4">
        <f t="shared" si="2"/>
        <v>38.6</v>
      </c>
      <c r="J65" s="4" t="str">
        <f t="shared" si="3"/>
        <v>Highly Efficient</v>
      </c>
      <c r="K65" s="4" t="str">
        <f t="shared" si="4"/>
        <v>senior</v>
      </c>
    </row>
    <row r="66" spans="1:11" x14ac:dyDescent="0.3">
      <c r="A66" s="3">
        <v>75</v>
      </c>
      <c r="B66" s="3">
        <v>17</v>
      </c>
      <c r="C66" s="3">
        <v>1.9</v>
      </c>
      <c r="D66" s="3">
        <v>5.2</v>
      </c>
      <c r="E66" s="3">
        <v>66.5</v>
      </c>
      <c r="F66" s="3">
        <v>2.6</v>
      </c>
      <c r="G66" s="4" t="str">
        <f t="shared" si="0"/>
        <v>Normal</v>
      </c>
      <c r="H66" s="4" t="str">
        <f t="shared" si="1"/>
        <v>Good</v>
      </c>
      <c r="I66" s="4">
        <f t="shared" si="2"/>
        <v>35</v>
      </c>
      <c r="J66" s="4" t="str">
        <f t="shared" si="3"/>
        <v>Highly Efficient</v>
      </c>
      <c r="K66" s="4" t="str">
        <f t="shared" si="4"/>
        <v>Young</v>
      </c>
    </row>
    <row r="67" spans="1:11" x14ac:dyDescent="0.3">
      <c r="A67" s="3">
        <v>76</v>
      </c>
      <c r="B67" s="3">
        <v>14</v>
      </c>
      <c r="C67" s="3">
        <v>1.7</v>
      </c>
      <c r="D67" s="3">
        <v>4.2</v>
      </c>
      <c r="E67" s="3">
        <v>65.7</v>
      </c>
      <c r="F67" s="3">
        <v>2.2999999999999998</v>
      </c>
      <c r="G67" s="4" t="str">
        <f t="shared" ref="G67:G130" si="5">IF(C67&gt;4,"High screen Time","Normal")</f>
        <v>Normal</v>
      </c>
      <c r="H67" s="4" t="str">
        <f t="shared" ref="H67:H130" si="6">IF(E67&gt;=80,"Excellent",IF(E67&gt;=60,"Good",IF(E67&gt;=40,"Average","Poor")))</f>
        <v>Good</v>
      </c>
      <c r="I67" s="4">
        <f t="shared" ref="I67:I130" si="7">E67/C67</f>
        <v>38.647058823529413</v>
      </c>
      <c r="J67" s="4" t="str">
        <f t="shared" ref="J67:J130" si="8">IF(I67&gt;=25,"Highly Efficient",IF(I67&gt;=20,"High",IF(I67&gt;=15,"Moderate","Low")))</f>
        <v>Highly Efficient</v>
      </c>
      <c r="K67" s="4" t="str">
        <f t="shared" ref="K67:K130" si="9">IF(B67&gt;=15,"Young",IF(B67&gt;=17,"Mid","senior"))</f>
        <v>senior</v>
      </c>
    </row>
    <row r="68" spans="1:11" x14ac:dyDescent="0.3">
      <c r="A68" s="3">
        <v>77</v>
      </c>
      <c r="B68" s="3">
        <v>13</v>
      </c>
      <c r="C68" s="3">
        <v>0.2</v>
      </c>
      <c r="D68" s="3">
        <v>2.2000000000000002</v>
      </c>
      <c r="E68" s="3">
        <v>69.5</v>
      </c>
      <c r="F68" s="3">
        <v>1.6</v>
      </c>
      <c r="G68" s="4" t="str">
        <f t="shared" si="5"/>
        <v>Normal</v>
      </c>
      <c r="H68" s="4" t="str">
        <f t="shared" si="6"/>
        <v>Good</v>
      </c>
      <c r="I68" s="4">
        <f t="shared" si="7"/>
        <v>347.5</v>
      </c>
      <c r="J68" s="4" t="str">
        <f t="shared" si="8"/>
        <v>Highly Efficient</v>
      </c>
      <c r="K68" s="4" t="str">
        <f t="shared" si="9"/>
        <v>senior</v>
      </c>
    </row>
    <row r="69" spans="1:11" x14ac:dyDescent="0.3">
      <c r="A69" s="3">
        <v>78</v>
      </c>
      <c r="B69" s="3">
        <v>16</v>
      </c>
      <c r="C69" s="3">
        <v>2.2000000000000002</v>
      </c>
      <c r="D69" s="3">
        <v>4.3</v>
      </c>
      <c r="E69" s="3">
        <v>88.4</v>
      </c>
      <c r="F69" s="3">
        <v>1.2</v>
      </c>
      <c r="G69" s="4" t="str">
        <f t="shared" si="5"/>
        <v>Normal</v>
      </c>
      <c r="H69" s="4" t="str">
        <f t="shared" si="6"/>
        <v>Excellent</v>
      </c>
      <c r="I69" s="4">
        <f t="shared" si="7"/>
        <v>40.18181818181818</v>
      </c>
      <c r="J69" s="4" t="str">
        <f t="shared" si="8"/>
        <v>Highly Efficient</v>
      </c>
      <c r="K69" s="4" t="str">
        <f t="shared" si="9"/>
        <v>Young</v>
      </c>
    </row>
    <row r="70" spans="1:11" x14ac:dyDescent="0.3">
      <c r="A70" s="3">
        <v>79</v>
      </c>
      <c r="B70" s="3">
        <v>16</v>
      </c>
      <c r="C70" s="3">
        <v>3.6</v>
      </c>
      <c r="D70" s="3">
        <v>6.1</v>
      </c>
      <c r="E70" s="3">
        <v>65.900000000000006</v>
      </c>
      <c r="F70" s="3">
        <v>1.6</v>
      </c>
      <c r="G70" s="4" t="str">
        <f t="shared" si="5"/>
        <v>Normal</v>
      </c>
      <c r="H70" s="4" t="str">
        <f t="shared" si="6"/>
        <v>Good</v>
      </c>
      <c r="I70" s="4">
        <f t="shared" si="7"/>
        <v>18.305555555555557</v>
      </c>
      <c r="J70" s="4" t="str">
        <f t="shared" si="8"/>
        <v>Moderate</v>
      </c>
      <c r="K70" s="4" t="str">
        <f t="shared" si="9"/>
        <v>Young</v>
      </c>
    </row>
    <row r="71" spans="1:11" x14ac:dyDescent="0.3">
      <c r="A71" s="3">
        <v>80</v>
      </c>
      <c r="B71" s="3">
        <v>16</v>
      </c>
      <c r="C71" s="3">
        <v>2.2000000000000002</v>
      </c>
      <c r="D71" s="3">
        <v>3.3</v>
      </c>
      <c r="E71" s="3">
        <v>72.599999999999994</v>
      </c>
      <c r="F71" s="3">
        <v>1.1000000000000001</v>
      </c>
      <c r="G71" s="4" t="str">
        <f t="shared" si="5"/>
        <v>Normal</v>
      </c>
      <c r="H71" s="4" t="str">
        <f t="shared" si="6"/>
        <v>Good</v>
      </c>
      <c r="I71" s="4">
        <f t="shared" si="7"/>
        <v>32.999999999999993</v>
      </c>
      <c r="J71" s="4" t="str">
        <f t="shared" si="8"/>
        <v>Highly Efficient</v>
      </c>
      <c r="K71" s="4" t="str">
        <f t="shared" si="9"/>
        <v>Young</v>
      </c>
    </row>
    <row r="72" spans="1:11" x14ac:dyDescent="0.3">
      <c r="A72" s="3">
        <v>81</v>
      </c>
      <c r="B72" s="3">
        <v>17</v>
      </c>
      <c r="C72" s="3">
        <v>3.1</v>
      </c>
      <c r="D72" s="3">
        <v>4.5</v>
      </c>
      <c r="E72" s="3">
        <v>47.6</v>
      </c>
      <c r="F72" s="3">
        <v>0</v>
      </c>
      <c r="G72" s="4" t="str">
        <f t="shared" si="5"/>
        <v>Normal</v>
      </c>
      <c r="H72" s="4" t="str">
        <f t="shared" si="6"/>
        <v>Average</v>
      </c>
      <c r="I72" s="4">
        <f t="shared" si="7"/>
        <v>15.35483870967742</v>
      </c>
      <c r="J72" s="4" t="str">
        <f t="shared" si="8"/>
        <v>Moderate</v>
      </c>
      <c r="K72" s="4" t="str">
        <f t="shared" si="9"/>
        <v>Young</v>
      </c>
    </row>
    <row r="73" spans="1:11" x14ac:dyDescent="0.3">
      <c r="A73" s="3">
        <v>82</v>
      </c>
      <c r="B73" s="3">
        <v>13</v>
      </c>
      <c r="C73" s="3">
        <v>1.4</v>
      </c>
      <c r="D73" s="3">
        <v>4</v>
      </c>
      <c r="E73" s="3">
        <v>76.8</v>
      </c>
      <c r="F73" s="3">
        <v>1.3</v>
      </c>
      <c r="G73" s="4" t="str">
        <f t="shared" si="5"/>
        <v>Normal</v>
      </c>
      <c r="H73" s="4" t="str">
        <f t="shared" si="6"/>
        <v>Good</v>
      </c>
      <c r="I73" s="4">
        <f t="shared" si="7"/>
        <v>54.857142857142861</v>
      </c>
      <c r="J73" s="4" t="str">
        <f t="shared" si="8"/>
        <v>Highly Efficient</v>
      </c>
      <c r="K73" s="4" t="str">
        <f t="shared" si="9"/>
        <v>senior</v>
      </c>
    </row>
    <row r="74" spans="1:11" x14ac:dyDescent="0.3">
      <c r="A74" s="3">
        <v>83</v>
      </c>
      <c r="B74" s="3">
        <v>17</v>
      </c>
      <c r="C74" s="3">
        <v>1.2</v>
      </c>
      <c r="D74" s="3">
        <v>6.1</v>
      </c>
      <c r="E74" s="3">
        <v>92.6</v>
      </c>
      <c r="F74" s="3">
        <v>1.8</v>
      </c>
      <c r="G74" s="4" t="str">
        <f t="shared" si="5"/>
        <v>Normal</v>
      </c>
      <c r="H74" s="4" t="str">
        <f t="shared" si="6"/>
        <v>Excellent</v>
      </c>
      <c r="I74" s="4">
        <f t="shared" si="7"/>
        <v>77.166666666666671</v>
      </c>
      <c r="J74" s="4" t="str">
        <f t="shared" si="8"/>
        <v>Highly Efficient</v>
      </c>
      <c r="K74" s="4" t="str">
        <f t="shared" si="9"/>
        <v>Young</v>
      </c>
    </row>
    <row r="75" spans="1:11" x14ac:dyDescent="0.3">
      <c r="A75" s="3">
        <v>84</v>
      </c>
      <c r="B75" s="3">
        <v>17</v>
      </c>
      <c r="C75" s="3">
        <v>1.7</v>
      </c>
      <c r="D75" s="3">
        <v>3</v>
      </c>
      <c r="E75" s="3">
        <v>60.7</v>
      </c>
      <c r="F75" s="3">
        <v>1</v>
      </c>
      <c r="G75" s="4" t="str">
        <f t="shared" si="5"/>
        <v>Normal</v>
      </c>
      <c r="H75" s="4" t="str">
        <f t="shared" si="6"/>
        <v>Good</v>
      </c>
      <c r="I75" s="4">
        <f t="shared" si="7"/>
        <v>35.705882352941181</v>
      </c>
      <c r="J75" s="4" t="str">
        <f t="shared" si="8"/>
        <v>Highly Efficient</v>
      </c>
      <c r="K75" s="4" t="str">
        <f t="shared" si="9"/>
        <v>Young</v>
      </c>
    </row>
    <row r="76" spans="1:11" x14ac:dyDescent="0.3">
      <c r="A76" s="3">
        <v>85</v>
      </c>
      <c r="B76" s="3">
        <v>13</v>
      </c>
      <c r="C76" s="3">
        <v>1.5</v>
      </c>
      <c r="D76" s="3">
        <v>5.7</v>
      </c>
      <c r="E76" s="3">
        <v>100</v>
      </c>
      <c r="F76" s="3">
        <v>1.3</v>
      </c>
      <c r="G76" s="4" t="str">
        <f t="shared" si="5"/>
        <v>Normal</v>
      </c>
      <c r="H76" s="4" t="str">
        <f t="shared" si="6"/>
        <v>Excellent</v>
      </c>
      <c r="I76" s="4">
        <f t="shared" si="7"/>
        <v>66.666666666666671</v>
      </c>
      <c r="J76" s="4" t="str">
        <f t="shared" si="8"/>
        <v>Highly Efficient</v>
      </c>
      <c r="K76" s="4" t="str">
        <f t="shared" si="9"/>
        <v>senior</v>
      </c>
    </row>
    <row r="77" spans="1:11" x14ac:dyDescent="0.3">
      <c r="A77" s="3">
        <v>86</v>
      </c>
      <c r="B77" s="3">
        <v>13</v>
      </c>
      <c r="C77" s="3">
        <v>1.3</v>
      </c>
      <c r="D77" s="3">
        <v>3.4</v>
      </c>
      <c r="E77" s="3">
        <v>71.8</v>
      </c>
      <c r="F77" s="3">
        <v>1.4</v>
      </c>
      <c r="G77" s="4" t="str">
        <f t="shared" si="5"/>
        <v>Normal</v>
      </c>
      <c r="H77" s="4" t="str">
        <f t="shared" si="6"/>
        <v>Good</v>
      </c>
      <c r="I77" s="4">
        <f t="shared" si="7"/>
        <v>55.230769230769226</v>
      </c>
      <c r="J77" s="4" t="str">
        <f t="shared" si="8"/>
        <v>Highly Efficient</v>
      </c>
      <c r="K77" s="4" t="str">
        <f t="shared" si="9"/>
        <v>senior</v>
      </c>
    </row>
    <row r="78" spans="1:11" x14ac:dyDescent="0.3">
      <c r="A78" s="3">
        <v>87</v>
      </c>
      <c r="B78" s="3">
        <v>13</v>
      </c>
      <c r="C78" s="3">
        <v>2.9</v>
      </c>
      <c r="D78" s="3">
        <v>3</v>
      </c>
      <c r="E78" s="3">
        <v>44.3</v>
      </c>
      <c r="F78" s="3">
        <v>2.6</v>
      </c>
      <c r="G78" s="4" t="str">
        <f t="shared" si="5"/>
        <v>Normal</v>
      </c>
      <c r="H78" s="4" t="str">
        <f t="shared" si="6"/>
        <v>Average</v>
      </c>
      <c r="I78" s="4">
        <f t="shared" si="7"/>
        <v>15.275862068965516</v>
      </c>
      <c r="J78" s="4" t="str">
        <f t="shared" si="8"/>
        <v>Moderate</v>
      </c>
      <c r="K78" s="4" t="str">
        <f t="shared" si="9"/>
        <v>senior</v>
      </c>
    </row>
    <row r="79" spans="1:11" x14ac:dyDescent="0.3">
      <c r="A79" s="3">
        <v>88</v>
      </c>
      <c r="B79" s="3">
        <v>13</v>
      </c>
      <c r="C79" s="3">
        <v>4.3</v>
      </c>
      <c r="D79" s="3">
        <v>4.2</v>
      </c>
      <c r="E79" s="3">
        <v>66.099999999999994</v>
      </c>
      <c r="F79" s="3">
        <v>1.2</v>
      </c>
      <c r="G79" s="4" t="str">
        <f t="shared" si="5"/>
        <v>High screen Time</v>
      </c>
      <c r="H79" s="4" t="str">
        <f t="shared" si="6"/>
        <v>Good</v>
      </c>
      <c r="I79" s="4">
        <f t="shared" si="7"/>
        <v>15.372093023255813</v>
      </c>
      <c r="J79" s="4" t="str">
        <f t="shared" si="8"/>
        <v>Moderate</v>
      </c>
      <c r="K79" s="4" t="str">
        <f t="shared" si="9"/>
        <v>senior</v>
      </c>
    </row>
    <row r="80" spans="1:11" x14ac:dyDescent="0.3">
      <c r="A80" s="3">
        <v>89</v>
      </c>
      <c r="B80" s="3">
        <v>16</v>
      </c>
      <c r="C80" s="3">
        <v>1.8</v>
      </c>
      <c r="D80" s="3">
        <v>4.5</v>
      </c>
      <c r="E80" s="3">
        <v>83.3</v>
      </c>
      <c r="F80" s="3">
        <v>2.6</v>
      </c>
      <c r="G80" s="4" t="str">
        <f t="shared" si="5"/>
        <v>Normal</v>
      </c>
      <c r="H80" s="4" t="str">
        <f t="shared" si="6"/>
        <v>Excellent</v>
      </c>
      <c r="I80" s="4">
        <f t="shared" si="7"/>
        <v>46.277777777777779</v>
      </c>
      <c r="J80" s="4" t="str">
        <f t="shared" si="8"/>
        <v>Highly Efficient</v>
      </c>
      <c r="K80" s="4" t="str">
        <f t="shared" si="9"/>
        <v>Young</v>
      </c>
    </row>
    <row r="81" spans="1:11" x14ac:dyDescent="0.3">
      <c r="A81" s="3">
        <v>91</v>
      </c>
      <c r="B81" s="3">
        <v>15</v>
      </c>
      <c r="C81" s="3">
        <v>3.2</v>
      </c>
      <c r="D81" s="3">
        <v>4.5</v>
      </c>
      <c r="E81" s="3">
        <v>77.2</v>
      </c>
      <c r="F81" s="3">
        <v>2.6</v>
      </c>
      <c r="G81" s="4" t="str">
        <f t="shared" si="5"/>
        <v>Normal</v>
      </c>
      <c r="H81" s="4" t="str">
        <f t="shared" si="6"/>
        <v>Good</v>
      </c>
      <c r="I81" s="4">
        <f t="shared" si="7"/>
        <v>24.125</v>
      </c>
      <c r="J81" s="4" t="str">
        <f t="shared" si="8"/>
        <v>High</v>
      </c>
      <c r="K81" s="4" t="str">
        <f t="shared" si="9"/>
        <v>Young</v>
      </c>
    </row>
    <row r="82" spans="1:11" x14ac:dyDescent="0.3">
      <c r="A82" s="3">
        <v>92</v>
      </c>
      <c r="B82" s="3">
        <v>13</v>
      </c>
      <c r="C82" s="3">
        <v>1.1000000000000001</v>
      </c>
      <c r="D82" s="3">
        <v>4.3</v>
      </c>
      <c r="E82" s="3">
        <v>85.7</v>
      </c>
      <c r="F82" s="3">
        <v>2.5</v>
      </c>
      <c r="G82" s="4" t="str">
        <f t="shared" si="5"/>
        <v>Normal</v>
      </c>
      <c r="H82" s="4" t="str">
        <f t="shared" si="6"/>
        <v>Excellent</v>
      </c>
      <c r="I82" s="4">
        <f t="shared" si="7"/>
        <v>77.909090909090907</v>
      </c>
      <c r="J82" s="4" t="str">
        <f t="shared" si="8"/>
        <v>Highly Efficient</v>
      </c>
      <c r="K82" s="4" t="str">
        <f t="shared" si="9"/>
        <v>senior</v>
      </c>
    </row>
    <row r="83" spans="1:11" x14ac:dyDescent="0.3">
      <c r="A83" s="3">
        <v>93</v>
      </c>
      <c r="B83" s="3">
        <v>15</v>
      </c>
      <c r="C83" s="3">
        <v>1.3</v>
      </c>
      <c r="D83" s="3">
        <v>6.4</v>
      </c>
      <c r="E83" s="3">
        <v>58.2</v>
      </c>
      <c r="F83" s="3">
        <v>2.2000000000000002</v>
      </c>
      <c r="G83" s="4" t="str">
        <f t="shared" si="5"/>
        <v>Normal</v>
      </c>
      <c r="H83" s="4" t="str">
        <f t="shared" si="6"/>
        <v>Average</v>
      </c>
      <c r="I83" s="4">
        <f t="shared" si="7"/>
        <v>44.769230769230766</v>
      </c>
      <c r="J83" s="4" t="str">
        <f t="shared" si="8"/>
        <v>Highly Efficient</v>
      </c>
      <c r="K83" s="4" t="str">
        <f t="shared" si="9"/>
        <v>Young</v>
      </c>
    </row>
    <row r="84" spans="1:11" x14ac:dyDescent="0.3">
      <c r="A84" s="3">
        <v>94</v>
      </c>
      <c r="B84" s="3">
        <v>15</v>
      </c>
      <c r="C84" s="3">
        <v>3</v>
      </c>
      <c r="D84" s="3">
        <v>4.9000000000000004</v>
      </c>
      <c r="E84" s="3">
        <v>63.2</v>
      </c>
      <c r="F84" s="3">
        <v>0</v>
      </c>
      <c r="G84" s="4" t="str">
        <f t="shared" si="5"/>
        <v>Normal</v>
      </c>
      <c r="H84" s="4" t="str">
        <f t="shared" si="6"/>
        <v>Good</v>
      </c>
      <c r="I84" s="4">
        <f t="shared" si="7"/>
        <v>21.066666666666666</v>
      </c>
      <c r="J84" s="4" t="str">
        <f t="shared" si="8"/>
        <v>High</v>
      </c>
      <c r="K84" s="4" t="str">
        <f t="shared" si="9"/>
        <v>Young</v>
      </c>
    </row>
    <row r="85" spans="1:11" x14ac:dyDescent="0.3">
      <c r="A85" s="3">
        <v>95</v>
      </c>
      <c r="B85" s="3">
        <v>13</v>
      </c>
      <c r="C85" s="3">
        <v>2.2999999999999998</v>
      </c>
      <c r="D85" s="3">
        <v>3</v>
      </c>
      <c r="E85" s="3">
        <v>53.2</v>
      </c>
      <c r="F85" s="3">
        <v>2.2999999999999998</v>
      </c>
      <c r="G85" s="4" t="str">
        <f t="shared" si="5"/>
        <v>Normal</v>
      </c>
      <c r="H85" s="4" t="str">
        <f t="shared" si="6"/>
        <v>Average</v>
      </c>
      <c r="I85" s="4">
        <f t="shared" si="7"/>
        <v>23.130434782608699</v>
      </c>
      <c r="J85" s="4" t="str">
        <f t="shared" si="8"/>
        <v>High</v>
      </c>
      <c r="K85" s="4" t="str">
        <f t="shared" si="9"/>
        <v>senior</v>
      </c>
    </row>
    <row r="86" spans="1:11" x14ac:dyDescent="0.3">
      <c r="A86" s="3">
        <v>96</v>
      </c>
      <c r="B86" s="3">
        <v>15</v>
      </c>
      <c r="C86" s="3">
        <v>1.8</v>
      </c>
      <c r="D86" s="3">
        <v>6</v>
      </c>
      <c r="E86" s="3">
        <v>63.9</v>
      </c>
      <c r="F86" s="3">
        <v>1.5</v>
      </c>
      <c r="G86" s="4" t="str">
        <f t="shared" si="5"/>
        <v>Normal</v>
      </c>
      <c r="H86" s="4" t="str">
        <f t="shared" si="6"/>
        <v>Good</v>
      </c>
      <c r="I86" s="4">
        <f t="shared" si="7"/>
        <v>35.5</v>
      </c>
      <c r="J86" s="4" t="str">
        <f t="shared" si="8"/>
        <v>Highly Efficient</v>
      </c>
      <c r="K86" s="4" t="str">
        <f t="shared" si="9"/>
        <v>Young</v>
      </c>
    </row>
    <row r="87" spans="1:11" x14ac:dyDescent="0.3">
      <c r="A87" s="3">
        <v>97</v>
      </c>
      <c r="B87" s="3">
        <v>17</v>
      </c>
      <c r="C87" s="3">
        <v>2.6</v>
      </c>
      <c r="D87" s="3">
        <v>2.9</v>
      </c>
      <c r="E87" s="3">
        <v>77.599999999999994</v>
      </c>
      <c r="F87" s="3">
        <v>0</v>
      </c>
      <c r="G87" s="4" t="str">
        <f t="shared" si="5"/>
        <v>Normal</v>
      </c>
      <c r="H87" s="4" t="str">
        <f t="shared" si="6"/>
        <v>Good</v>
      </c>
      <c r="I87" s="4">
        <f t="shared" si="7"/>
        <v>29.846153846153843</v>
      </c>
      <c r="J87" s="4" t="str">
        <f t="shared" si="8"/>
        <v>Highly Efficient</v>
      </c>
      <c r="K87" s="4" t="str">
        <f t="shared" si="9"/>
        <v>Young</v>
      </c>
    </row>
    <row r="88" spans="1:11" x14ac:dyDescent="0.3">
      <c r="A88" s="3">
        <v>98</v>
      </c>
      <c r="B88" s="3">
        <v>14</v>
      </c>
      <c r="C88" s="3">
        <v>2.1</v>
      </c>
      <c r="D88" s="3">
        <v>3</v>
      </c>
      <c r="E88" s="3">
        <v>72.099999999999994</v>
      </c>
      <c r="F88" s="3">
        <v>2.5</v>
      </c>
      <c r="G88" s="4" t="str">
        <f t="shared" si="5"/>
        <v>Normal</v>
      </c>
      <c r="H88" s="4" t="str">
        <f t="shared" si="6"/>
        <v>Good</v>
      </c>
      <c r="I88" s="4">
        <f t="shared" si="7"/>
        <v>34.333333333333329</v>
      </c>
      <c r="J88" s="4" t="str">
        <f t="shared" si="8"/>
        <v>Highly Efficient</v>
      </c>
      <c r="K88" s="4" t="str">
        <f t="shared" si="9"/>
        <v>senior</v>
      </c>
    </row>
    <row r="89" spans="1:11" x14ac:dyDescent="0.3">
      <c r="A89" s="3">
        <v>99</v>
      </c>
      <c r="B89" s="3">
        <v>14</v>
      </c>
      <c r="C89" s="3">
        <v>4.4000000000000004</v>
      </c>
      <c r="D89" s="3">
        <v>2.7</v>
      </c>
      <c r="E89" s="3">
        <v>78.7</v>
      </c>
      <c r="F89" s="3">
        <v>2.7</v>
      </c>
      <c r="G89" s="4" t="str">
        <f t="shared" si="5"/>
        <v>High screen Time</v>
      </c>
      <c r="H89" s="4" t="str">
        <f t="shared" si="6"/>
        <v>Good</v>
      </c>
      <c r="I89" s="4">
        <f t="shared" si="7"/>
        <v>17.886363636363637</v>
      </c>
      <c r="J89" s="4" t="str">
        <f t="shared" si="8"/>
        <v>Moderate</v>
      </c>
      <c r="K89" s="4" t="str">
        <f t="shared" si="9"/>
        <v>senior</v>
      </c>
    </row>
    <row r="90" spans="1:11" x14ac:dyDescent="0.3">
      <c r="A90" s="3">
        <v>100</v>
      </c>
      <c r="B90" s="3">
        <v>13</v>
      </c>
      <c r="C90" s="3">
        <v>1.8</v>
      </c>
      <c r="D90" s="3">
        <v>2.6</v>
      </c>
      <c r="E90" s="3">
        <v>60.6</v>
      </c>
      <c r="F90" s="3">
        <v>0</v>
      </c>
      <c r="G90" s="4" t="str">
        <f t="shared" si="5"/>
        <v>Normal</v>
      </c>
      <c r="H90" s="4" t="str">
        <f t="shared" si="6"/>
        <v>Good</v>
      </c>
      <c r="I90" s="4">
        <f t="shared" si="7"/>
        <v>33.666666666666664</v>
      </c>
      <c r="J90" s="4" t="str">
        <f t="shared" si="8"/>
        <v>Highly Efficient</v>
      </c>
      <c r="K90" s="4" t="str">
        <f t="shared" si="9"/>
        <v>senior</v>
      </c>
    </row>
    <row r="91" spans="1:11" x14ac:dyDescent="0.3">
      <c r="A91" s="3">
        <v>101</v>
      </c>
      <c r="B91" s="3">
        <v>16</v>
      </c>
      <c r="C91" s="3">
        <v>1.6</v>
      </c>
      <c r="D91" s="3">
        <v>4.5</v>
      </c>
      <c r="E91" s="3">
        <v>61.2</v>
      </c>
      <c r="F91" s="3">
        <v>1.6</v>
      </c>
      <c r="G91" s="4" t="str">
        <f t="shared" si="5"/>
        <v>Normal</v>
      </c>
      <c r="H91" s="4" t="str">
        <f t="shared" si="6"/>
        <v>Good</v>
      </c>
      <c r="I91" s="4">
        <f t="shared" si="7"/>
        <v>38.25</v>
      </c>
      <c r="J91" s="4" t="str">
        <f t="shared" si="8"/>
        <v>Highly Efficient</v>
      </c>
      <c r="K91" s="4" t="str">
        <f t="shared" si="9"/>
        <v>Young</v>
      </c>
    </row>
    <row r="92" spans="1:11" x14ac:dyDescent="0.3">
      <c r="A92" s="3">
        <v>102</v>
      </c>
      <c r="B92" s="3">
        <v>13</v>
      </c>
      <c r="C92" s="3">
        <v>2</v>
      </c>
      <c r="D92" s="3">
        <v>3.6</v>
      </c>
      <c r="E92" s="3">
        <v>72</v>
      </c>
      <c r="F92" s="3">
        <v>2.6</v>
      </c>
      <c r="G92" s="4" t="str">
        <f t="shared" si="5"/>
        <v>Normal</v>
      </c>
      <c r="H92" s="4" t="str">
        <f t="shared" si="6"/>
        <v>Good</v>
      </c>
      <c r="I92" s="4">
        <f t="shared" si="7"/>
        <v>36</v>
      </c>
      <c r="J92" s="4" t="str">
        <f t="shared" si="8"/>
        <v>Highly Efficient</v>
      </c>
      <c r="K92" s="4" t="str">
        <f t="shared" si="9"/>
        <v>senior</v>
      </c>
    </row>
    <row r="93" spans="1:11" x14ac:dyDescent="0.3">
      <c r="A93" s="3">
        <v>103</v>
      </c>
      <c r="B93" s="3">
        <v>16</v>
      </c>
      <c r="C93" s="3">
        <v>2.1</v>
      </c>
      <c r="D93" s="3">
        <v>0</v>
      </c>
      <c r="E93" s="3">
        <v>64</v>
      </c>
      <c r="F93" s="3">
        <v>2.5</v>
      </c>
      <c r="G93" s="4" t="str">
        <f t="shared" si="5"/>
        <v>Normal</v>
      </c>
      <c r="H93" s="4" t="str">
        <f t="shared" si="6"/>
        <v>Good</v>
      </c>
      <c r="I93" s="4">
        <f t="shared" si="7"/>
        <v>30.476190476190474</v>
      </c>
      <c r="J93" s="4" t="str">
        <f t="shared" si="8"/>
        <v>Highly Efficient</v>
      </c>
      <c r="K93" s="4" t="str">
        <f t="shared" si="9"/>
        <v>Young</v>
      </c>
    </row>
    <row r="94" spans="1:11" x14ac:dyDescent="0.3">
      <c r="A94" s="3">
        <v>105</v>
      </c>
      <c r="B94" s="3">
        <v>13</v>
      </c>
      <c r="C94" s="3">
        <v>0.5</v>
      </c>
      <c r="D94" s="3">
        <v>3.2</v>
      </c>
      <c r="E94" s="3">
        <v>63.7</v>
      </c>
      <c r="F94" s="3">
        <v>0</v>
      </c>
      <c r="G94" s="4" t="str">
        <f t="shared" si="5"/>
        <v>Normal</v>
      </c>
      <c r="H94" s="4" t="str">
        <f t="shared" si="6"/>
        <v>Good</v>
      </c>
      <c r="I94" s="4">
        <f t="shared" si="7"/>
        <v>127.4</v>
      </c>
      <c r="J94" s="4" t="str">
        <f t="shared" si="8"/>
        <v>Highly Efficient</v>
      </c>
      <c r="K94" s="4" t="str">
        <f t="shared" si="9"/>
        <v>senior</v>
      </c>
    </row>
    <row r="95" spans="1:11" x14ac:dyDescent="0.3">
      <c r="A95" s="3">
        <v>106</v>
      </c>
      <c r="B95" s="3">
        <v>17</v>
      </c>
      <c r="C95" s="3">
        <v>2.9</v>
      </c>
      <c r="D95" s="3">
        <v>5.3</v>
      </c>
      <c r="E95" s="3">
        <v>65</v>
      </c>
      <c r="F95" s="3">
        <v>2.1</v>
      </c>
      <c r="G95" s="4" t="str">
        <f t="shared" si="5"/>
        <v>Normal</v>
      </c>
      <c r="H95" s="4" t="str">
        <f t="shared" si="6"/>
        <v>Good</v>
      </c>
      <c r="I95" s="4">
        <f t="shared" si="7"/>
        <v>22.413793103448278</v>
      </c>
      <c r="J95" s="4" t="str">
        <f t="shared" si="8"/>
        <v>High</v>
      </c>
      <c r="K95" s="4" t="str">
        <f t="shared" si="9"/>
        <v>Young</v>
      </c>
    </row>
    <row r="96" spans="1:11" x14ac:dyDescent="0.3">
      <c r="A96" s="3">
        <v>107</v>
      </c>
      <c r="B96" s="3">
        <v>15</v>
      </c>
      <c r="C96" s="3">
        <v>2</v>
      </c>
      <c r="D96" s="3">
        <v>3.2</v>
      </c>
      <c r="E96" s="3">
        <v>74.2</v>
      </c>
      <c r="F96" s="3">
        <v>1.3</v>
      </c>
      <c r="G96" s="4" t="str">
        <f t="shared" si="5"/>
        <v>Normal</v>
      </c>
      <c r="H96" s="4" t="str">
        <f t="shared" si="6"/>
        <v>Good</v>
      </c>
      <c r="I96" s="4">
        <f t="shared" si="7"/>
        <v>37.1</v>
      </c>
      <c r="J96" s="4" t="str">
        <f t="shared" si="8"/>
        <v>Highly Efficient</v>
      </c>
      <c r="K96" s="4" t="str">
        <f t="shared" si="9"/>
        <v>Young</v>
      </c>
    </row>
    <row r="97" spans="1:11" x14ac:dyDescent="0.3">
      <c r="A97" s="3">
        <v>108</v>
      </c>
      <c r="B97" s="3">
        <v>16</v>
      </c>
      <c r="C97" s="3">
        <v>3.3</v>
      </c>
      <c r="D97" s="3">
        <v>7.8</v>
      </c>
      <c r="E97" s="3">
        <v>66.099999999999994</v>
      </c>
      <c r="F97" s="3">
        <v>2.2999999999999998</v>
      </c>
      <c r="G97" s="4" t="str">
        <f t="shared" si="5"/>
        <v>Normal</v>
      </c>
      <c r="H97" s="4" t="str">
        <f t="shared" si="6"/>
        <v>Good</v>
      </c>
      <c r="I97" s="4">
        <f t="shared" si="7"/>
        <v>20.030303030303031</v>
      </c>
      <c r="J97" s="4" t="str">
        <f t="shared" si="8"/>
        <v>High</v>
      </c>
      <c r="K97" s="4" t="str">
        <f t="shared" si="9"/>
        <v>Young</v>
      </c>
    </row>
    <row r="98" spans="1:11" x14ac:dyDescent="0.3">
      <c r="A98" s="3">
        <v>109</v>
      </c>
      <c r="B98" s="3">
        <v>15</v>
      </c>
      <c r="C98" s="3">
        <v>2.5</v>
      </c>
      <c r="D98" s="3">
        <v>6.1</v>
      </c>
      <c r="E98" s="3">
        <v>57.7</v>
      </c>
      <c r="F98" s="3">
        <v>1.7</v>
      </c>
      <c r="G98" s="4" t="str">
        <f t="shared" si="5"/>
        <v>Normal</v>
      </c>
      <c r="H98" s="4" t="str">
        <f t="shared" si="6"/>
        <v>Average</v>
      </c>
      <c r="I98" s="4">
        <f t="shared" si="7"/>
        <v>23.080000000000002</v>
      </c>
      <c r="J98" s="4" t="str">
        <f t="shared" si="8"/>
        <v>High</v>
      </c>
      <c r="K98" s="4" t="str">
        <f t="shared" si="9"/>
        <v>Young</v>
      </c>
    </row>
    <row r="99" spans="1:11" x14ac:dyDescent="0.3">
      <c r="A99" s="3">
        <v>110</v>
      </c>
      <c r="B99" s="3">
        <v>15</v>
      </c>
      <c r="C99" s="3">
        <v>3</v>
      </c>
      <c r="D99" s="3">
        <v>3.4</v>
      </c>
      <c r="E99" s="3">
        <v>59</v>
      </c>
      <c r="F99" s="3">
        <v>1.5</v>
      </c>
      <c r="G99" s="4" t="str">
        <f t="shared" si="5"/>
        <v>Normal</v>
      </c>
      <c r="H99" s="4" t="str">
        <f t="shared" si="6"/>
        <v>Average</v>
      </c>
      <c r="I99" s="4">
        <f t="shared" si="7"/>
        <v>19.666666666666668</v>
      </c>
      <c r="J99" s="4" t="str">
        <f t="shared" si="8"/>
        <v>Moderate</v>
      </c>
      <c r="K99" s="4" t="str">
        <f t="shared" si="9"/>
        <v>Young</v>
      </c>
    </row>
    <row r="100" spans="1:11" x14ac:dyDescent="0.3">
      <c r="A100" s="3">
        <v>111</v>
      </c>
      <c r="B100" s="3">
        <v>13</v>
      </c>
      <c r="C100" s="3">
        <v>2.1</v>
      </c>
      <c r="D100" s="3">
        <v>5.7</v>
      </c>
      <c r="E100" s="3">
        <v>75.400000000000006</v>
      </c>
      <c r="F100" s="3">
        <v>2</v>
      </c>
      <c r="G100" s="4" t="str">
        <f t="shared" si="5"/>
        <v>Normal</v>
      </c>
      <c r="H100" s="4" t="str">
        <f t="shared" si="6"/>
        <v>Good</v>
      </c>
      <c r="I100" s="4">
        <f t="shared" si="7"/>
        <v>35.904761904761905</v>
      </c>
      <c r="J100" s="4" t="str">
        <f t="shared" si="8"/>
        <v>Highly Efficient</v>
      </c>
      <c r="K100" s="4" t="str">
        <f t="shared" si="9"/>
        <v>senior</v>
      </c>
    </row>
    <row r="101" spans="1:11" x14ac:dyDescent="0.3">
      <c r="A101" s="3">
        <v>113</v>
      </c>
      <c r="B101" s="3">
        <v>17</v>
      </c>
      <c r="C101" s="3">
        <v>4.2</v>
      </c>
      <c r="D101" s="3">
        <v>4.4000000000000004</v>
      </c>
      <c r="E101" s="3">
        <v>84</v>
      </c>
      <c r="F101" s="3">
        <v>1.5</v>
      </c>
      <c r="G101" s="4" t="str">
        <f t="shared" si="5"/>
        <v>High screen Time</v>
      </c>
      <c r="H101" s="4" t="str">
        <f t="shared" si="6"/>
        <v>Excellent</v>
      </c>
      <c r="I101" s="4">
        <f t="shared" si="7"/>
        <v>20</v>
      </c>
      <c r="J101" s="4" t="str">
        <f t="shared" si="8"/>
        <v>High</v>
      </c>
      <c r="K101" s="4" t="str">
        <f t="shared" si="9"/>
        <v>Young</v>
      </c>
    </row>
    <row r="102" spans="1:11" x14ac:dyDescent="0.3">
      <c r="A102" s="3">
        <v>114</v>
      </c>
      <c r="B102" s="3">
        <v>15</v>
      </c>
      <c r="C102" s="3">
        <v>1.8</v>
      </c>
      <c r="D102" s="3">
        <v>5.2</v>
      </c>
      <c r="E102" s="3">
        <v>63.1</v>
      </c>
      <c r="F102" s="3">
        <v>1.1000000000000001</v>
      </c>
      <c r="G102" s="4" t="str">
        <f t="shared" si="5"/>
        <v>Normal</v>
      </c>
      <c r="H102" s="4" t="str">
        <f t="shared" si="6"/>
        <v>Good</v>
      </c>
      <c r="I102" s="4">
        <f t="shared" si="7"/>
        <v>35.055555555555557</v>
      </c>
      <c r="J102" s="4" t="str">
        <f t="shared" si="8"/>
        <v>Highly Efficient</v>
      </c>
      <c r="K102" s="4" t="str">
        <f t="shared" si="9"/>
        <v>Young</v>
      </c>
    </row>
    <row r="103" spans="1:11" x14ac:dyDescent="0.3">
      <c r="A103" s="3">
        <v>115</v>
      </c>
      <c r="B103" s="3">
        <v>13</v>
      </c>
      <c r="C103" s="3">
        <v>2.4</v>
      </c>
      <c r="D103" s="3">
        <v>4.0999999999999996</v>
      </c>
      <c r="E103" s="3">
        <v>76.2</v>
      </c>
      <c r="F103" s="3">
        <v>0.2</v>
      </c>
      <c r="G103" s="4" t="str">
        <f t="shared" si="5"/>
        <v>Normal</v>
      </c>
      <c r="H103" s="4" t="str">
        <f t="shared" si="6"/>
        <v>Good</v>
      </c>
      <c r="I103" s="4">
        <f t="shared" si="7"/>
        <v>31.750000000000004</v>
      </c>
      <c r="J103" s="4" t="str">
        <f t="shared" si="8"/>
        <v>Highly Efficient</v>
      </c>
      <c r="K103" s="4" t="str">
        <f t="shared" si="9"/>
        <v>senior</v>
      </c>
    </row>
    <row r="104" spans="1:11" x14ac:dyDescent="0.3">
      <c r="A104" s="3">
        <v>116</v>
      </c>
      <c r="B104" s="3">
        <v>17</v>
      </c>
      <c r="C104" s="3">
        <v>2</v>
      </c>
      <c r="D104" s="3">
        <v>4.4000000000000004</v>
      </c>
      <c r="E104" s="3">
        <v>63.7</v>
      </c>
      <c r="F104" s="3">
        <v>2</v>
      </c>
      <c r="G104" s="4" t="str">
        <f t="shared" si="5"/>
        <v>Normal</v>
      </c>
      <c r="H104" s="4" t="str">
        <f t="shared" si="6"/>
        <v>Good</v>
      </c>
      <c r="I104" s="4">
        <f t="shared" si="7"/>
        <v>31.85</v>
      </c>
      <c r="J104" s="4" t="str">
        <f t="shared" si="8"/>
        <v>Highly Efficient</v>
      </c>
      <c r="K104" s="4" t="str">
        <f t="shared" si="9"/>
        <v>Young</v>
      </c>
    </row>
    <row r="105" spans="1:11" x14ac:dyDescent="0.3">
      <c r="A105" s="3">
        <v>117</v>
      </c>
      <c r="B105" s="3">
        <v>14</v>
      </c>
      <c r="C105" s="3">
        <v>4.0999999999999996</v>
      </c>
      <c r="D105" s="3">
        <v>5.2</v>
      </c>
      <c r="E105" s="3">
        <v>60.8</v>
      </c>
      <c r="F105" s="3">
        <v>0.9</v>
      </c>
      <c r="G105" s="4" t="str">
        <f t="shared" si="5"/>
        <v>High screen Time</v>
      </c>
      <c r="H105" s="4" t="str">
        <f t="shared" si="6"/>
        <v>Good</v>
      </c>
      <c r="I105" s="4">
        <f t="shared" si="7"/>
        <v>14.829268292682928</v>
      </c>
      <c r="J105" s="4" t="str">
        <f t="shared" si="8"/>
        <v>Low</v>
      </c>
      <c r="K105" s="4" t="str">
        <f t="shared" si="9"/>
        <v>senior</v>
      </c>
    </row>
    <row r="106" spans="1:11" x14ac:dyDescent="0.3">
      <c r="A106" s="3">
        <v>118</v>
      </c>
      <c r="B106" s="3">
        <v>15</v>
      </c>
      <c r="C106" s="3">
        <v>2.1</v>
      </c>
      <c r="D106" s="3">
        <v>7.1</v>
      </c>
      <c r="E106" s="3">
        <v>72.5</v>
      </c>
      <c r="F106" s="3">
        <v>1.3</v>
      </c>
      <c r="G106" s="4" t="str">
        <f t="shared" si="5"/>
        <v>Normal</v>
      </c>
      <c r="H106" s="4" t="str">
        <f t="shared" si="6"/>
        <v>Good</v>
      </c>
      <c r="I106" s="4">
        <f t="shared" si="7"/>
        <v>34.523809523809526</v>
      </c>
      <c r="J106" s="4" t="str">
        <f t="shared" si="8"/>
        <v>Highly Efficient</v>
      </c>
      <c r="K106" s="4" t="str">
        <f t="shared" si="9"/>
        <v>Young</v>
      </c>
    </row>
    <row r="107" spans="1:11" x14ac:dyDescent="0.3">
      <c r="A107" s="3">
        <v>119</v>
      </c>
      <c r="B107" s="3">
        <v>13</v>
      </c>
      <c r="C107" s="3">
        <v>1.8</v>
      </c>
      <c r="D107" s="3">
        <v>4.4000000000000004</v>
      </c>
      <c r="E107" s="3">
        <v>80.5</v>
      </c>
      <c r="F107" s="3">
        <v>1.7</v>
      </c>
      <c r="G107" s="4" t="str">
        <f t="shared" si="5"/>
        <v>Normal</v>
      </c>
      <c r="H107" s="4" t="str">
        <f t="shared" si="6"/>
        <v>Excellent</v>
      </c>
      <c r="I107" s="4">
        <f t="shared" si="7"/>
        <v>44.722222222222221</v>
      </c>
      <c r="J107" s="4" t="str">
        <f t="shared" si="8"/>
        <v>Highly Efficient</v>
      </c>
      <c r="K107" s="4" t="str">
        <f t="shared" si="9"/>
        <v>senior</v>
      </c>
    </row>
    <row r="108" spans="1:11" x14ac:dyDescent="0.3">
      <c r="A108" s="3">
        <v>120</v>
      </c>
      <c r="B108" s="3">
        <v>14</v>
      </c>
      <c r="C108" s="3">
        <v>1.9</v>
      </c>
      <c r="D108" s="3">
        <v>3.3</v>
      </c>
      <c r="E108" s="3">
        <v>67.5</v>
      </c>
      <c r="F108" s="3">
        <v>0</v>
      </c>
      <c r="G108" s="4" t="str">
        <f t="shared" si="5"/>
        <v>Normal</v>
      </c>
      <c r="H108" s="4" t="str">
        <f t="shared" si="6"/>
        <v>Good</v>
      </c>
      <c r="I108" s="4">
        <f t="shared" si="7"/>
        <v>35.526315789473685</v>
      </c>
      <c r="J108" s="4" t="str">
        <f t="shared" si="8"/>
        <v>Highly Efficient</v>
      </c>
      <c r="K108" s="4" t="str">
        <f t="shared" si="9"/>
        <v>senior</v>
      </c>
    </row>
    <row r="109" spans="1:11" x14ac:dyDescent="0.3">
      <c r="A109" s="3">
        <v>121</v>
      </c>
      <c r="B109" s="3">
        <v>14</v>
      </c>
      <c r="C109" s="3">
        <v>2.4</v>
      </c>
      <c r="D109" s="3">
        <v>1</v>
      </c>
      <c r="E109" s="3">
        <v>69.3</v>
      </c>
      <c r="F109" s="3">
        <v>0</v>
      </c>
      <c r="G109" s="4" t="str">
        <f t="shared" si="5"/>
        <v>Normal</v>
      </c>
      <c r="H109" s="4" t="str">
        <f t="shared" si="6"/>
        <v>Good</v>
      </c>
      <c r="I109" s="4">
        <f t="shared" si="7"/>
        <v>28.875</v>
      </c>
      <c r="J109" s="4" t="str">
        <f t="shared" si="8"/>
        <v>Highly Efficient</v>
      </c>
      <c r="K109" s="4" t="str">
        <f t="shared" si="9"/>
        <v>senior</v>
      </c>
    </row>
    <row r="110" spans="1:11" x14ac:dyDescent="0.3">
      <c r="A110" s="3">
        <v>122</v>
      </c>
      <c r="B110" s="3">
        <v>16</v>
      </c>
      <c r="C110" s="3">
        <v>1.7</v>
      </c>
      <c r="D110" s="3">
        <v>6.9</v>
      </c>
      <c r="E110" s="3">
        <v>78.099999999999994</v>
      </c>
      <c r="F110" s="3">
        <v>1.3</v>
      </c>
      <c r="G110" s="4" t="str">
        <f t="shared" si="5"/>
        <v>Normal</v>
      </c>
      <c r="H110" s="4" t="str">
        <f t="shared" si="6"/>
        <v>Good</v>
      </c>
      <c r="I110" s="4">
        <f t="shared" si="7"/>
        <v>45.941176470588232</v>
      </c>
      <c r="J110" s="4" t="str">
        <f t="shared" si="8"/>
        <v>Highly Efficient</v>
      </c>
      <c r="K110" s="4" t="str">
        <f t="shared" si="9"/>
        <v>Young</v>
      </c>
    </row>
    <row r="111" spans="1:11" x14ac:dyDescent="0.3">
      <c r="A111" s="3">
        <v>123</v>
      </c>
      <c r="B111" s="3">
        <v>17</v>
      </c>
      <c r="C111" s="3">
        <v>2.1</v>
      </c>
      <c r="D111" s="3">
        <v>3.6</v>
      </c>
      <c r="E111" s="3">
        <v>78.400000000000006</v>
      </c>
      <c r="F111" s="3">
        <v>1.9</v>
      </c>
      <c r="G111" s="4" t="str">
        <f t="shared" si="5"/>
        <v>Normal</v>
      </c>
      <c r="H111" s="4" t="str">
        <f t="shared" si="6"/>
        <v>Good</v>
      </c>
      <c r="I111" s="4">
        <f t="shared" si="7"/>
        <v>37.333333333333336</v>
      </c>
      <c r="J111" s="4" t="str">
        <f t="shared" si="8"/>
        <v>Highly Efficient</v>
      </c>
      <c r="K111" s="4" t="str">
        <f t="shared" si="9"/>
        <v>Young</v>
      </c>
    </row>
    <row r="112" spans="1:11" x14ac:dyDescent="0.3">
      <c r="A112" s="3">
        <v>124</v>
      </c>
      <c r="B112" s="3">
        <v>15</v>
      </c>
      <c r="C112" s="3">
        <v>2.7</v>
      </c>
      <c r="D112" s="3">
        <v>4.8</v>
      </c>
      <c r="E112" s="3">
        <v>69.599999999999994</v>
      </c>
      <c r="F112" s="3">
        <v>2.1</v>
      </c>
      <c r="G112" s="4" t="str">
        <f t="shared" si="5"/>
        <v>Normal</v>
      </c>
      <c r="H112" s="4" t="str">
        <f t="shared" si="6"/>
        <v>Good</v>
      </c>
      <c r="I112" s="4">
        <f t="shared" si="7"/>
        <v>25.777777777777775</v>
      </c>
      <c r="J112" s="4" t="str">
        <f t="shared" si="8"/>
        <v>Highly Efficient</v>
      </c>
      <c r="K112" s="4" t="str">
        <f t="shared" si="9"/>
        <v>Young</v>
      </c>
    </row>
    <row r="113" spans="1:11" x14ac:dyDescent="0.3">
      <c r="A113" s="3">
        <v>125</v>
      </c>
      <c r="B113" s="3">
        <v>13</v>
      </c>
      <c r="C113" s="3">
        <v>2.4</v>
      </c>
      <c r="D113" s="3">
        <v>6.9</v>
      </c>
      <c r="E113" s="3">
        <v>65.599999999999994</v>
      </c>
      <c r="F113" s="3">
        <v>0.2</v>
      </c>
      <c r="G113" s="4" t="str">
        <f t="shared" si="5"/>
        <v>Normal</v>
      </c>
      <c r="H113" s="4" t="str">
        <f t="shared" si="6"/>
        <v>Good</v>
      </c>
      <c r="I113" s="4">
        <f t="shared" si="7"/>
        <v>27.333333333333332</v>
      </c>
      <c r="J113" s="4" t="str">
        <f t="shared" si="8"/>
        <v>Highly Efficient</v>
      </c>
      <c r="K113" s="4" t="str">
        <f t="shared" si="9"/>
        <v>senior</v>
      </c>
    </row>
    <row r="114" spans="1:11" x14ac:dyDescent="0.3">
      <c r="A114" s="3">
        <v>126</v>
      </c>
      <c r="B114" s="3">
        <v>16</v>
      </c>
      <c r="C114" s="3">
        <v>3.3</v>
      </c>
      <c r="D114" s="3">
        <v>4.3</v>
      </c>
      <c r="E114" s="3">
        <v>70.8</v>
      </c>
      <c r="F114" s="3">
        <v>2</v>
      </c>
      <c r="G114" s="4" t="str">
        <f t="shared" si="5"/>
        <v>Normal</v>
      </c>
      <c r="H114" s="4" t="str">
        <f t="shared" si="6"/>
        <v>Good</v>
      </c>
      <c r="I114" s="4">
        <f t="shared" si="7"/>
        <v>21.454545454545453</v>
      </c>
      <c r="J114" s="4" t="str">
        <f t="shared" si="8"/>
        <v>High</v>
      </c>
      <c r="K114" s="4" t="str">
        <f t="shared" si="9"/>
        <v>Young</v>
      </c>
    </row>
    <row r="115" spans="1:11" x14ac:dyDescent="0.3">
      <c r="A115" s="3">
        <v>127</v>
      </c>
      <c r="B115" s="3">
        <v>17</v>
      </c>
      <c r="C115" s="3">
        <v>2.2000000000000002</v>
      </c>
      <c r="D115" s="3">
        <v>3.7</v>
      </c>
      <c r="E115" s="3">
        <v>68.099999999999994</v>
      </c>
      <c r="F115" s="3">
        <v>1.3</v>
      </c>
      <c r="G115" s="4" t="str">
        <f t="shared" si="5"/>
        <v>Normal</v>
      </c>
      <c r="H115" s="4" t="str">
        <f t="shared" si="6"/>
        <v>Good</v>
      </c>
      <c r="I115" s="4">
        <f t="shared" si="7"/>
        <v>30.95454545454545</v>
      </c>
      <c r="J115" s="4" t="str">
        <f t="shared" si="8"/>
        <v>Highly Efficient</v>
      </c>
      <c r="K115" s="4" t="str">
        <f t="shared" si="9"/>
        <v>Young</v>
      </c>
    </row>
    <row r="116" spans="1:11" x14ac:dyDescent="0.3">
      <c r="A116" s="3">
        <v>128</v>
      </c>
      <c r="B116" s="3">
        <v>16</v>
      </c>
      <c r="C116" s="3">
        <v>2.2999999999999998</v>
      </c>
      <c r="D116" s="3">
        <v>6.1</v>
      </c>
      <c r="E116" s="3">
        <v>73.099999999999994</v>
      </c>
      <c r="F116" s="3">
        <v>0.8</v>
      </c>
      <c r="G116" s="4" t="str">
        <f t="shared" si="5"/>
        <v>Normal</v>
      </c>
      <c r="H116" s="4" t="str">
        <f t="shared" si="6"/>
        <v>Good</v>
      </c>
      <c r="I116" s="4">
        <f t="shared" si="7"/>
        <v>31.782608695652176</v>
      </c>
      <c r="J116" s="4" t="str">
        <f t="shared" si="8"/>
        <v>Highly Efficient</v>
      </c>
      <c r="K116" s="4" t="str">
        <f t="shared" si="9"/>
        <v>Young</v>
      </c>
    </row>
    <row r="117" spans="1:11" x14ac:dyDescent="0.3">
      <c r="A117" s="3">
        <v>129</v>
      </c>
      <c r="B117" s="3">
        <v>17</v>
      </c>
      <c r="C117" s="3">
        <v>2.8</v>
      </c>
      <c r="D117" s="3">
        <v>4.7</v>
      </c>
      <c r="E117" s="3">
        <v>58.1</v>
      </c>
      <c r="F117" s="3">
        <v>1</v>
      </c>
      <c r="G117" s="4" t="str">
        <f t="shared" si="5"/>
        <v>Normal</v>
      </c>
      <c r="H117" s="4" t="str">
        <f t="shared" si="6"/>
        <v>Average</v>
      </c>
      <c r="I117" s="4">
        <f t="shared" si="7"/>
        <v>20.750000000000004</v>
      </c>
      <c r="J117" s="4" t="str">
        <f t="shared" si="8"/>
        <v>High</v>
      </c>
      <c r="K117" s="4" t="str">
        <f t="shared" si="9"/>
        <v>Young</v>
      </c>
    </row>
    <row r="118" spans="1:11" x14ac:dyDescent="0.3">
      <c r="A118" s="3">
        <v>130</v>
      </c>
      <c r="B118" s="3">
        <v>17</v>
      </c>
      <c r="C118" s="3">
        <v>4.7</v>
      </c>
      <c r="D118" s="3">
        <v>4.9000000000000004</v>
      </c>
      <c r="E118" s="3">
        <v>72.8</v>
      </c>
      <c r="F118" s="3">
        <v>2.1</v>
      </c>
      <c r="G118" s="4" t="str">
        <f t="shared" si="5"/>
        <v>High screen Time</v>
      </c>
      <c r="H118" s="4" t="str">
        <f t="shared" si="6"/>
        <v>Good</v>
      </c>
      <c r="I118" s="4">
        <f t="shared" si="7"/>
        <v>15.489361702127658</v>
      </c>
      <c r="J118" s="4" t="str">
        <f t="shared" si="8"/>
        <v>Moderate</v>
      </c>
      <c r="K118" s="4" t="str">
        <f t="shared" si="9"/>
        <v>Young</v>
      </c>
    </row>
    <row r="119" spans="1:11" x14ac:dyDescent="0.3">
      <c r="A119" s="3">
        <v>131</v>
      </c>
      <c r="B119" s="3">
        <v>15</v>
      </c>
      <c r="C119" s="3">
        <v>1.7</v>
      </c>
      <c r="D119" s="3">
        <v>1.7</v>
      </c>
      <c r="E119" s="3">
        <v>62.8</v>
      </c>
      <c r="F119" s="3">
        <v>1.7</v>
      </c>
      <c r="G119" s="4" t="str">
        <f t="shared" si="5"/>
        <v>Normal</v>
      </c>
      <c r="H119" s="4" t="str">
        <f t="shared" si="6"/>
        <v>Good</v>
      </c>
      <c r="I119" s="4">
        <f t="shared" si="7"/>
        <v>36.941176470588232</v>
      </c>
      <c r="J119" s="4" t="str">
        <f t="shared" si="8"/>
        <v>Highly Efficient</v>
      </c>
      <c r="K119" s="4" t="str">
        <f t="shared" si="9"/>
        <v>Young</v>
      </c>
    </row>
    <row r="120" spans="1:11" x14ac:dyDescent="0.3">
      <c r="A120" s="3">
        <v>132</v>
      </c>
      <c r="B120" s="3">
        <v>17</v>
      </c>
      <c r="C120" s="3">
        <v>4.4000000000000004</v>
      </c>
      <c r="D120" s="3">
        <v>5.8</v>
      </c>
      <c r="E120" s="3">
        <v>79.099999999999994</v>
      </c>
      <c r="F120" s="3">
        <v>1.5</v>
      </c>
      <c r="G120" s="4" t="str">
        <f t="shared" si="5"/>
        <v>High screen Time</v>
      </c>
      <c r="H120" s="4" t="str">
        <f t="shared" si="6"/>
        <v>Good</v>
      </c>
      <c r="I120" s="4">
        <f t="shared" si="7"/>
        <v>17.977272727272723</v>
      </c>
      <c r="J120" s="4" t="str">
        <f t="shared" si="8"/>
        <v>Moderate</v>
      </c>
      <c r="K120" s="4" t="str">
        <f t="shared" si="9"/>
        <v>Young</v>
      </c>
    </row>
    <row r="121" spans="1:11" x14ac:dyDescent="0.3">
      <c r="A121" s="3">
        <v>133</v>
      </c>
      <c r="B121" s="3">
        <v>16</v>
      </c>
      <c r="C121" s="3">
        <v>1.3</v>
      </c>
      <c r="D121" s="3">
        <v>4.5999999999999996</v>
      </c>
      <c r="E121" s="3">
        <v>63.3</v>
      </c>
      <c r="F121" s="3">
        <v>1.7</v>
      </c>
      <c r="G121" s="4" t="str">
        <f t="shared" si="5"/>
        <v>Normal</v>
      </c>
      <c r="H121" s="4" t="str">
        <f t="shared" si="6"/>
        <v>Good</v>
      </c>
      <c r="I121" s="4">
        <f t="shared" si="7"/>
        <v>48.692307692307686</v>
      </c>
      <c r="J121" s="4" t="str">
        <f t="shared" si="8"/>
        <v>Highly Efficient</v>
      </c>
      <c r="K121" s="4" t="str">
        <f t="shared" si="9"/>
        <v>Young</v>
      </c>
    </row>
    <row r="122" spans="1:11" x14ac:dyDescent="0.3">
      <c r="A122" s="3">
        <v>134</v>
      </c>
      <c r="B122" s="3">
        <v>17</v>
      </c>
      <c r="C122" s="3">
        <v>2.7</v>
      </c>
      <c r="D122" s="3">
        <v>1.9</v>
      </c>
      <c r="E122" s="3">
        <v>63.4</v>
      </c>
      <c r="F122" s="3">
        <v>2.2000000000000002</v>
      </c>
      <c r="G122" s="4" t="str">
        <f t="shared" si="5"/>
        <v>Normal</v>
      </c>
      <c r="H122" s="4" t="str">
        <f t="shared" si="6"/>
        <v>Good</v>
      </c>
      <c r="I122" s="4">
        <f t="shared" si="7"/>
        <v>23.481481481481481</v>
      </c>
      <c r="J122" s="4" t="str">
        <f t="shared" si="8"/>
        <v>High</v>
      </c>
      <c r="K122" s="4" t="str">
        <f t="shared" si="9"/>
        <v>Young</v>
      </c>
    </row>
    <row r="123" spans="1:11" x14ac:dyDescent="0.3">
      <c r="A123" s="3">
        <v>136</v>
      </c>
      <c r="B123" s="3">
        <v>15</v>
      </c>
      <c r="C123" s="3">
        <v>1.7</v>
      </c>
      <c r="D123" s="3">
        <v>0.9</v>
      </c>
      <c r="E123" s="3">
        <v>70.099999999999994</v>
      </c>
      <c r="F123" s="3">
        <v>1.5</v>
      </c>
      <c r="G123" s="4" t="str">
        <f t="shared" si="5"/>
        <v>Normal</v>
      </c>
      <c r="H123" s="4" t="str">
        <f t="shared" si="6"/>
        <v>Good</v>
      </c>
      <c r="I123" s="4">
        <f t="shared" si="7"/>
        <v>41.235294117647058</v>
      </c>
      <c r="J123" s="4" t="str">
        <f t="shared" si="8"/>
        <v>Highly Efficient</v>
      </c>
      <c r="K123" s="4" t="str">
        <f t="shared" si="9"/>
        <v>Young</v>
      </c>
    </row>
    <row r="124" spans="1:11" x14ac:dyDescent="0.3">
      <c r="A124" s="3">
        <v>137</v>
      </c>
      <c r="B124" s="3">
        <v>16</v>
      </c>
      <c r="C124" s="3">
        <v>3.2</v>
      </c>
      <c r="D124" s="3">
        <v>7.5</v>
      </c>
      <c r="E124" s="3">
        <v>92.8</v>
      </c>
      <c r="F124" s="3">
        <v>2.4</v>
      </c>
      <c r="G124" s="4" t="str">
        <f t="shared" si="5"/>
        <v>Normal</v>
      </c>
      <c r="H124" s="4" t="str">
        <f t="shared" si="6"/>
        <v>Excellent</v>
      </c>
      <c r="I124" s="4">
        <f t="shared" si="7"/>
        <v>28.999999999999996</v>
      </c>
      <c r="J124" s="4" t="str">
        <f t="shared" si="8"/>
        <v>Highly Efficient</v>
      </c>
      <c r="K124" s="4" t="str">
        <f t="shared" si="9"/>
        <v>Young</v>
      </c>
    </row>
    <row r="125" spans="1:11" x14ac:dyDescent="0.3">
      <c r="A125" s="3">
        <v>139</v>
      </c>
      <c r="B125" s="3">
        <v>14</v>
      </c>
      <c r="C125" s="3">
        <v>2</v>
      </c>
      <c r="D125" s="3">
        <v>6.4</v>
      </c>
      <c r="E125" s="3">
        <v>71.099999999999994</v>
      </c>
      <c r="F125" s="3">
        <v>2</v>
      </c>
      <c r="G125" s="4" t="str">
        <f t="shared" si="5"/>
        <v>Normal</v>
      </c>
      <c r="H125" s="4" t="str">
        <f t="shared" si="6"/>
        <v>Good</v>
      </c>
      <c r="I125" s="4">
        <f t="shared" si="7"/>
        <v>35.549999999999997</v>
      </c>
      <c r="J125" s="4" t="str">
        <f t="shared" si="8"/>
        <v>Highly Efficient</v>
      </c>
      <c r="K125" s="4" t="str">
        <f t="shared" si="9"/>
        <v>senior</v>
      </c>
    </row>
    <row r="126" spans="1:11" x14ac:dyDescent="0.3">
      <c r="A126" s="3">
        <v>140</v>
      </c>
      <c r="B126" s="3">
        <v>17</v>
      </c>
      <c r="C126" s="3">
        <v>0.4</v>
      </c>
      <c r="D126" s="3">
        <v>2.8</v>
      </c>
      <c r="E126" s="3">
        <v>81.3</v>
      </c>
      <c r="F126" s="3">
        <v>1.1000000000000001</v>
      </c>
      <c r="G126" s="4" t="str">
        <f t="shared" si="5"/>
        <v>Normal</v>
      </c>
      <c r="H126" s="4" t="str">
        <f t="shared" si="6"/>
        <v>Excellent</v>
      </c>
      <c r="I126" s="4">
        <f t="shared" si="7"/>
        <v>203.24999999999997</v>
      </c>
      <c r="J126" s="4" t="str">
        <f t="shared" si="8"/>
        <v>Highly Efficient</v>
      </c>
      <c r="K126" s="4" t="str">
        <f t="shared" si="9"/>
        <v>Young</v>
      </c>
    </row>
    <row r="127" spans="1:11" x14ac:dyDescent="0.3">
      <c r="A127" s="3">
        <v>141</v>
      </c>
      <c r="B127" s="3">
        <v>13</v>
      </c>
      <c r="C127" s="3">
        <v>2.1</v>
      </c>
      <c r="D127" s="3">
        <v>4.8</v>
      </c>
      <c r="E127" s="3">
        <v>64.2</v>
      </c>
      <c r="F127" s="3">
        <v>1.2</v>
      </c>
      <c r="G127" s="4" t="str">
        <f t="shared" si="5"/>
        <v>Normal</v>
      </c>
      <c r="H127" s="4" t="str">
        <f t="shared" si="6"/>
        <v>Good</v>
      </c>
      <c r="I127" s="4">
        <f t="shared" si="7"/>
        <v>30.571428571428573</v>
      </c>
      <c r="J127" s="4" t="str">
        <f t="shared" si="8"/>
        <v>Highly Efficient</v>
      </c>
      <c r="K127" s="4" t="str">
        <f t="shared" si="9"/>
        <v>senior</v>
      </c>
    </row>
    <row r="128" spans="1:11" x14ac:dyDescent="0.3">
      <c r="A128" s="3">
        <v>142</v>
      </c>
      <c r="B128" s="3">
        <v>17</v>
      </c>
      <c r="C128" s="3">
        <v>2.6</v>
      </c>
      <c r="D128" s="3">
        <v>2.6</v>
      </c>
      <c r="E128" s="3">
        <v>60.9</v>
      </c>
      <c r="F128" s="3">
        <v>1.4</v>
      </c>
      <c r="G128" s="4" t="str">
        <f t="shared" si="5"/>
        <v>Normal</v>
      </c>
      <c r="H128" s="4" t="str">
        <f t="shared" si="6"/>
        <v>Good</v>
      </c>
      <c r="I128" s="4">
        <f t="shared" si="7"/>
        <v>23.423076923076923</v>
      </c>
      <c r="J128" s="4" t="str">
        <f t="shared" si="8"/>
        <v>High</v>
      </c>
      <c r="K128" s="4" t="str">
        <f t="shared" si="9"/>
        <v>Young</v>
      </c>
    </row>
    <row r="129" spans="1:11" x14ac:dyDescent="0.3">
      <c r="A129" s="3">
        <v>143</v>
      </c>
      <c r="B129" s="3">
        <v>16</v>
      </c>
      <c r="C129" s="3">
        <v>2.5</v>
      </c>
      <c r="D129" s="3">
        <v>5.5</v>
      </c>
      <c r="E129" s="3">
        <v>61.3</v>
      </c>
      <c r="F129" s="3">
        <v>1.9</v>
      </c>
      <c r="G129" s="4" t="str">
        <f t="shared" si="5"/>
        <v>Normal</v>
      </c>
      <c r="H129" s="4" t="str">
        <f t="shared" si="6"/>
        <v>Good</v>
      </c>
      <c r="I129" s="4">
        <f t="shared" si="7"/>
        <v>24.52</v>
      </c>
      <c r="J129" s="4" t="str">
        <f t="shared" si="8"/>
        <v>High</v>
      </c>
      <c r="K129" s="4" t="str">
        <f t="shared" si="9"/>
        <v>Young</v>
      </c>
    </row>
    <row r="130" spans="1:11" x14ac:dyDescent="0.3">
      <c r="A130" s="3">
        <v>144</v>
      </c>
      <c r="B130" s="3">
        <v>16</v>
      </c>
      <c r="C130" s="3">
        <v>3.3</v>
      </c>
      <c r="D130" s="3">
        <v>3.6</v>
      </c>
      <c r="E130" s="3">
        <v>53.9</v>
      </c>
      <c r="F130" s="3">
        <v>2.5</v>
      </c>
      <c r="G130" s="4" t="str">
        <f t="shared" si="5"/>
        <v>Normal</v>
      </c>
      <c r="H130" s="4" t="str">
        <f t="shared" si="6"/>
        <v>Average</v>
      </c>
      <c r="I130" s="4">
        <f t="shared" si="7"/>
        <v>16.333333333333332</v>
      </c>
      <c r="J130" s="4" t="str">
        <f t="shared" si="8"/>
        <v>Moderate</v>
      </c>
      <c r="K130" s="4" t="str">
        <f t="shared" si="9"/>
        <v>Young</v>
      </c>
    </row>
    <row r="131" spans="1:11" x14ac:dyDescent="0.3">
      <c r="A131" s="3">
        <v>145</v>
      </c>
      <c r="B131" s="3">
        <v>16</v>
      </c>
      <c r="C131" s="3">
        <v>4.4000000000000004</v>
      </c>
      <c r="D131" s="3">
        <v>4.7</v>
      </c>
      <c r="E131" s="3">
        <v>83.5</v>
      </c>
      <c r="F131" s="3">
        <v>1.6</v>
      </c>
      <c r="G131" s="4" t="str">
        <f t="shared" ref="G131:G183" si="10">IF(C131&gt;4,"High screen Time","Normal")</f>
        <v>High screen Time</v>
      </c>
      <c r="H131" s="4" t="str">
        <f t="shared" ref="H131:H183" si="11">IF(E131&gt;=80,"Excellent",IF(E131&gt;=60,"Good",IF(E131&gt;=40,"Average","Poor")))</f>
        <v>Excellent</v>
      </c>
      <c r="I131" s="4">
        <f t="shared" ref="I131:I183" si="12">E131/C131</f>
        <v>18.977272727272727</v>
      </c>
      <c r="J131" s="4" t="str">
        <f t="shared" ref="J131:J183" si="13">IF(I131&gt;=25,"Highly Efficient",IF(I131&gt;=20,"High",IF(I131&gt;=15,"Moderate","Low")))</f>
        <v>Moderate</v>
      </c>
      <c r="K131" s="4" t="str">
        <f t="shared" ref="K131:K183" si="14">IF(B131&gt;=15,"Young",IF(B131&gt;=17,"Mid","senior"))</f>
        <v>Young</v>
      </c>
    </row>
    <row r="132" spans="1:11" x14ac:dyDescent="0.3">
      <c r="A132" s="3">
        <v>146</v>
      </c>
      <c r="B132" s="3">
        <v>16</v>
      </c>
      <c r="C132" s="3">
        <v>2.9</v>
      </c>
      <c r="D132" s="3">
        <v>4</v>
      </c>
      <c r="E132" s="3">
        <v>66.7</v>
      </c>
      <c r="F132" s="3">
        <v>0.3</v>
      </c>
      <c r="G132" s="4" t="str">
        <f t="shared" si="10"/>
        <v>Normal</v>
      </c>
      <c r="H132" s="4" t="str">
        <f t="shared" si="11"/>
        <v>Good</v>
      </c>
      <c r="I132" s="4">
        <f t="shared" si="12"/>
        <v>23</v>
      </c>
      <c r="J132" s="4" t="str">
        <f t="shared" si="13"/>
        <v>High</v>
      </c>
      <c r="K132" s="4" t="str">
        <f t="shared" si="14"/>
        <v>Young</v>
      </c>
    </row>
    <row r="133" spans="1:11" x14ac:dyDescent="0.3">
      <c r="A133" s="3">
        <v>147</v>
      </c>
      <c r="B133" s="3">
        <v>16</v>
      </c>
      <c r="C133" s="3">
        <v>3.1</v>
      </c>
      <c r="D133" s="3">
        <v>2</v>
      </c>
      <c r="E133" s="3">
        <v>65.5</v>
      </c>
      <c r="F133" s="3">
        <v>2</v>
      </c>
      <c r="G133" s="4" t="str">
        <f t="shared" si="10"/>
        <v>Normal</v>
      </c>
      <c r="H133" s="4" t="str">
        <f t="shared" si="11"/>
        <v>Good</v>
      </c>
      <c r="I133" s="4">
        <f t="shared" si="12"/>
        <v>21.129032258064516</v>
      </c>
      <c r="J133" s="4" t="str">
        <f t="shared" si="13"/>
        <v>High</v>
      </c>
      <c r="K133" s="4" t="str">
        <f t="shared" si="14"/>
        <v>Young</v>
      </c>
    </row>
    <row r="134" spans="1:11" x14ac:dyDescent="0.3">
      <c r="A134" s="3">
        <v>148</v>
      </c>
      <c r="B134" s="3">
        <v>15</v>
      </c>
      <c r="C134" s="3">
        <v>2.6</v>
      </c>
      <c r="D134" s="3">
        <v>4.8</v>
      </c>
      <c r="E134" s="3">
        <v>48.8</v>
      </c>
      <c r="F134" s="3">
        <v>3.5</v>
      </c>
      <c r="G134" s="4" t="str">
        <f t="shared" si="10"/>
        <v>Normal</v>
      </c>
      <c r="H134" s="4" t="str">
        <f t="shared" si="11"/>
        <v>Average</v>
      </c>
      <c r="I134" s="4">
        <f t="shared" si="12"/>
        <v>18.769230769230766</v>
      </c>
      <c r="J134" s="4" t="str">
        <f t="shared" si="13"/>
        <v>Moderate</v>
      </c>
      <c r="K134" s="4" t="str">
        <f t="shared" si="14"/>
        <v>Young</v>
      </c>
    </row>
    <row r="135" spans="1:11" x14ac:dyDescent="0.3">
      <c r="A135" s="3">
        <v>149</v>
      </c>
      <c r="B135" s="3">
        <v>14</v>
      </c>
      <c r="C135" s="3">
        <v>3.7</v>
      </c>
      <c r="D135" s="3">
        <v>3.2</v>
      </c>
      <c r="E135" s="3">
        <v>55.7</v>
      </c>
      <c r="F135" s="3">
        <v>1.6</v>
      </c>
      <c r="G135" s="4" t="str">
        <f t="shared" si="10"/>
        <v>Normal</v>
      </c>
      <c r="H135" s="4" t="str">
        <f t="shared" si="11"/>
        <v>Average</v>
      </c>
      <c r="I135" s="4">
        <f t="shared" si="12"/>
        <v>15.054054054054054</v>
      </c>
      <c r="J135" s="4" t="str">
        <f t="shared" si="13"/>
        <v>Moderate</v>
      </c>
      <c r="K135" s="4" t="str">
        <f t="shared" si="14"/>
        <v>senior</v>
      </c>
    </row>
    <row r="136" spans="1:11" x14ac:dyDescent="0.3">
      <c r="A136" s="3">
        <v>150</v>
      </c>
      <c r="B136" s="3">
        <v>16</v>
      </c>
      <c r="C136" s="3">
        <v>3</v>
      </c>
      <c r="D136" s="3">
        <v>5.6</v>
      </c>
      <c r="E136" s="3">
        <v>84.7</v>
      </c>
      <c r="F136" s="3">
        <v>0.1</v>
      </c>
      <c r="G136" s="4" t="str">
        <f t="shared" si="10"/>
        <v>Normal</v>
      </c>
      <c r="H136" s="4" t="str">
        <f t="shared" si="11"/>
        <v>Excellent</v>
      </c>
      <c r="I136" s="4">
        <f t="shared" si="12"/>
        <v>28.233333333333334</v>
      </c>
      <c r="J136" s="4" t="str">
        <f t="shared" si="13"/>
        <v>Highly Efficient</v>
      </c>
      <c r="K136" s="4" t="str">
        <f t="shared" si="14"/>
        <v>Young</v>
      </c>
    </row>
    <row r="137" spans="1:11" x14ac:dyDescent="0.3">
      <c r="A137" s="3">
        <v>151</v>
      </c>
      <c r="B137" s="3">
        <v>13</v>
      </c>
      <c r="C137" s="3">
        <v>3.2</v>
      </c>
      <c r="D137" s="3">
        <v>3.6</v>
      </c>
      <c r="E137" s="3">
        <v>73</v>
      </c>
      <c r="F137" s="3">
        <v>1.6</v>
      </c>
      <c r="G137" s="4" t="str">
        <f t="shared" si="10"/>
        <v>Normal</v>
      </c>
      <c r="H137" s="4" t="str">
        <f t="shared" si="11"/>
        <v>Good</v>
      </c>
      <c r="I137" s="4">
        <f t="shared" si="12"/>
        <v>22.8125</v>
      </c>
      <c r="J137" s="4" t="str">
        <f t="shared" si="13"/>
        <v>High</v>
      </c>
      <c r="K137" s="4" t="str">
        <f t="shared" si="14"/>
        <v>senior</v>
      </c>
    </row>
    <row r="138" spans="1:11" x14ac:dyDescent="0.3">
      <c r="A138" s="3">
        <v>152</v>
      </c>
      <c r="B138" s="3">
        <v>13</v>
      </c>
      <c r="C138" s="3">
        <v>4.3</v>
      </c>
      <c r="D138" s="3">
        <v>3.9</v>
      </c>
      <c r="E138" s="3">
        <v>81.7</v>
      </c>
      <c r="F138" s="3">
        <v>1.5</v>
      </c>
      <c r="G138" s="4" t="str">
        <f t="shared" si="10"/>
        <v>High screen Time</v>
      </c>
      <c r="H138" s="4" t="str">
        <f t="shared" si="11"/>
        <v>Excellent</v>
      </c>
      <c r="I138" s="4">
        <f t="shared" si="12"/>
        <v>19</v>
      </c>
      <c r="J138" s="4" t="str">
        <f t="shared" si="13"/>
        <v>Moderate</v>
      </c>
      <c r="K138" s="4" t="str">
        <f t="shared" si="14"/>
        <v>senior</v>
      </c>
    </row>
    <row r="139" spans="1:11" x14ac:dyDescent="0.3">
      <c r="A139" s="3">
        <v>153</v>
      </c>
      <c r="B139" s="3">
        <v>13</v>
      </c>
      <c r="C139" s="3">
        <v>2.7</v>
      </c>
      <c r="D139" s="3">
        <v>6.5</v>
      </c>
      <c r="E139" s="3">
        <v>80.400000000000006</v>
      </c>
      <c r="F139" s="3">
        <v>1.4</v>
      </c>
      <c r="G139" s="4" t="str">
        <f t="shared" si="10"/>
        <v>Normal</v>
      </c>
      <c r="H139" s="4" t="str">
        <f t="shared" si="11"/>
        <v>Excellent</v>
      </c>
      <c r="I139" s="4">
        <f t="shared" si="12"/>
        <v>29.777777777777779</v>
      </c>
      <c r="J139" s="4" t="str">
        <f t="shared" si="13"/>
        <v>Highly Efficient</v>
      </c>
      <c r="K139" s="4" t="str">
        <f t="shared" si="14"/>
        <v>senior</v>
      </c>
    </row>
    <row r="140" spans="1:11" x14ac:dyDescent="0.3">
      <c r="A140" s="3">
        <v>154</v>
      </c>
      <c r="B140" s="3">
        <v>13</v>
      </c>
      <c r="C140" s="3">
        <v>2.2000000000000002</v>
      </c>
      <c r="D140" s="3">
        <v>7.6</v>
      </c>
      <c r="E140" s="3">
        <v>60</v>
      </c>
      <c r="F140" s="3">
        <v>2.2999999999999998</v>
      </c>
      <c r="G140" s="4" t="str">
        <f t="shared" si="10"/>
        <v>Normal</v>
      </c>
      <c r="H140" s="4" t="str">
        <f t="shared" si="11"/>
        <v>Good</v>
      </c>
      <c r="I140" s="4">
        <f t="shared" si="12"/>
        <v>27.27272727272727</v>
      </c>
      <c r="J140" s="4" t="str">
        <f t="shared" si="13"/>
        <v>Highly Efficient</v>
      </c>
      <c r="K140" s="4" t="str">
        <f t="shared" si="14"/>
        <v>senior</v>
      </c>
    </row>
    <row r="141" spans="1:11" x14ac:dyDescent="0.3">
      <c r="A141" s="3">
        <v>155</v>
      </c>
      <c r="B141" s="3">
        <v>15</v>
      </c>
      <c r="C141" s="3">
        <v>2.9</v>
      </c>
      <c r="D141" s="3">
        <v>5.2</v>
      </c>
      <c r="E141" s="3">
        <v>94.3</v>
      </c>
      <c r="F141" s="3">
        <v>2.6</v>
      </c>
      <c r="G141" s="4" t="str">
        <f t="shared" si="10"/>
        <v>Normal</v>
      </c>
      <c r="H141" s="4" t="str">
        <f t="shared" si="11"/>
        <v>Excellent</v>
      </c>
      <c r="I141" s="4">
        <f t="shared" si="12"/>
        <v>32.517241379310342</v>
      </c>
      <c r="J141" s="4" t="str">
        <f t="shared" si="13"/>
        <v>Highly Efficient</v>
      </c>
      <c r="K141" s="4" t="str">
        <f t="shared" si="14"/>
        <v>Young</v>
      </c>
    </row>
    <row r="142" spans="1:11" x14ac:dyDescent="0.3">
      <c r="A142" s="3">
        <v>156</v>
      </c>
      <c r="B142" s="3">
        <v>13</v>
      </c>
      <c r="C142" s="3">
        <v>3.6</v>
      </c>
      <c r="D142" s="3">
        <v>3.6</v>
      </c>
      <c r="E142" s="3">
        <v>89.5</v>
      </c>
      <c r="F142" s="3">
        <v>2</v>
      </c>
      <c r="G142" s="4" t="str">
        <f t="shared" si="10"/>
        <v>Normal</v>
      </c>
      <c r="H142" s="4" t="str">
        <f t="shared" si="11"/>
        <v>Excellent</v>
      </c>
      <c r="I142" s="4">
        <f t="shared" si="12"/>
        <v>24.861111111111111</v>
      </c>
      <c r="J142" s="4" t="str">
        <f t="shared" si="13"/>
        <v>High</v>
      </c>
      <c r="K142" s="4" t="str">
        <f t="shared" si="14"/>
        <v>senior</v>
      </c>
    </row>
    <row r="143" spans="1:11" x14ac:dyDescent="0.3">
      <c r="A143" s="3">
        <v>157</v>
      </c>
      <c r="B143" s="3">
        <v>16</v>
      </c>
      <c r="C143" s="3">
        <v>3</v>
      </c>
      <c r="D143" s="3">
        <v>3.4</v>
      </c>
      <c r="E143" s="3">
        <v>64.400000000000006</v>
      </c>
      <c r="F143" s="3">
        <v>1.4</v>
      </c>
      <c r="G143" s="4" t="str">
        <f t="shared" si="10"/>
        <v>Normal</v>
      </c>
      <c r="H143" s="4" t="str">
        <f t="shared" si="11"/>
        <v>Good</v>
      </c>
      <c r="I143" s="4">
        <f t="shared" si="12"/>
        <v>21.466666666666669</v>
      </c>
      <c r="J143" s="4" t="str">
        <f t="shared" si="13"/>
        <v>High</v>
      </c>
      <c r="K143" s="4" t="str">
        <f t="shared" si="14"/>
        <v>Young</v>
      </c>
    </row>
    <row r="144" spans="1:11" x14ac:dyDescent="0.3">
      <c r="A144" s="3">
        <v>158</v>
      </c>
      <c r="B144" s="3">
        <v>17</v>
      </c>
      <c r="C144" s="3">
        <v>3.6</v>
      </c>
      <c r="D144" s="3">
        <v>2.8</v>
      </c>
      <c r="E144" s="3">
        <v>34.299999999999997</v>
      </c>
      <c r="F144" s="3">
        <v>2.4</v>
      </c>
      <c r="G144" s="4" t="str">
        <f t="shared" si="10"/>
        <v>Normal</v>
      </c>
      <c r="H144" s="4" t="str">
        <f t="shared" si="11"/>
        <v>Poor</v>
      </c>
      <c r="I144" s="4">
        <f t="shared" si="12"/>
        <v>9.5277777777777768</v>
      </c>
      <c r="J144" s="4" t="str">
        <f t="shared" si="13"/>
        <v>Low</v>
      </c>
      <c r="K144" s="4" t="str">
        <f t="shared" si="14"/>
        <v>Young</v>
      </c>
    </row>
    <row r="145" spans="1:11" x14ac:dyDescent="0.3">
      <c r="A145" s="3">
        <v>159</v>
      </c>
      <c r="B145" s="3">
        <v>13</v>
      </c>
      <c r="C145" s="3">
        <v>1.8</v>
      </c>
      <c r="D145" s="3">
        <v>3.1</v>
      </c>
      <c r="E145" s="3">
        <v>66.400000000000006</v>
      </c>
      <c r="F145" s="3">
        <v>0.3</v>
      </c>
      <c r="G145" s="4" t="str">
        <f t="shared" si="10"/>
        <v>Normal</v>
      </c>
      <c r="H145" s="4" t="str">
        <f t="shared" si="11"/>
        <v>Good</v>
      </c>
      <c r="I145" s="4">
        <f t="shared" si="12"/>
        <v>36.888888888888893</v>
      </c>
      <c r="J145" s="4" t="str">
        <f t="shared" si="13"/>
        <v>Highly Efficient</v>
      </c>
      <c r="K145" s="4" t="str">
        <f t="shared" si="14"/>
        <v>senior</v>
      </c>
    </row>
    <row r="146" spans="1:11" x14ac:dyDescent="0.3">
      <c r="A146" s="3">
        <v>160</v>
      </c>
      <c r="B146" s="3">
        <v>15</v>
      </c>
      <c r="C146" s="3">
        <v>1.6</v>
      </c>
      <c r="D146" s="3">
        <v>3.6</v>
      </c>
      <c r="E146" s="3">
        <v>72.400000000000006</v>
      </c>
      <c r="F146" s="3">
        <v>0.9</v>
      </c>
      <c r="G146" s="4" t="str">
        <f t="shared" si="10"/>
        <v>Normal</v>
      </c>
      <c r="H146" s="4" t="str">
        <f t="shared" si="11"/>
        <v>Good</v>
      </c>
      <c r="I146" s="4">
        <f t="shared" si="12"/>
        <v>45.25</v>
      </c>
      <c r="J146" s="4" t="str">
        <f t="shared" si="13"/>
        <v>Highly Efficient</v>
      </c>
      <c r="K146" s="4" t="str">
        <f t="shared" si="14"/>
        <v>Young</v>
      </c>
    </row>
    <row r="147" spans="1:11" x14ac:dyDescent="0.3">
      <c r="A147" s="3">
        <v>161</v>
      </c>
      <c r="B147" s="3">
        <v>15</v>
      </c>
      <c r="C147" s="3">
        <v>2</v>
      </c>
      <c r="D147" s="3">
        <v>6.9</v>
      </c>
      <c r="E147" s="3">
        <v>64.3</v>
      </c>
      <c r="F147" s="3">
        <v>1</v>
      </c>
      <c r="G147" s="4" t="str">
        <f t="shared" si="10"/>
        <v>Normal</v>
      </c>
      <c r="H147" s="4" t="str">
        <f t="shared" si="11"/>
        <v>Good</v>
      </c>
      <c r="I147" s="4">
        <f t="shared" si="12"/>
        <v>32.15</v>
      </c>
      <c r="J147" s="4" t="str">
        <f t="shared" si="13"/>
        <v>Highly Efficient</v>
      </c>
      <c r="K147" s="4" t="str">
        <f t="shared" si="14"/>
        <v>Young</v>
      </c>
    </row>
    <row r="148" spans="1:11" x14ac:dyDescent="0.3">
      <c r="A148" s="3">
        <v>162</v>
      </c>
      <c r="B148" s="3">
        <v>13</v>
      </c>
      <c r="C148" s="3">
        <v>1.2</v>
      </c>
      <c r="D148" s="3">
        <v>3.7</v>
      </c>
      <c r="E148" s="3">
        <v>67.8</v>
      </c>
      <c r="F148" s="3">
        <v>1.5</v>
      </c>
      <c r="G148" s="4" t="str">
        <f t="shared" si="10"/>
        <v>Normal</v>
      </c>
      <c r="H148" s="4" t="str">
        <f t="shared" si="11"/>
        <v>Good</v>
      </c>
      <c r="I148" s="4">
        <f t="shared" si="12"/>
        <v>56.5</v>
      </c>
      <c r="J148" s="4" t="str">
        <f t="shared" si="13"/>
        <v>Highly Efficient</v>
      </c>
      <c r="K148" s="4" t="str">
        <f t="shared" si="14"/>
        <v>senior</v>
      </c>
    </row>
    <row r="149" spans="1:11" x14ac:dyDescent="0.3">
      <c r="A149" s="3">
        <v>163</v>
      </c>
      <c r="B149" s="3">
        <v>17</v>
      </c>
      <c r="C149" s="3">
        <v>2.6</v>
      </c>
      <c r="D149" s="3">
        <v>2.2000000000000002</v>
      </c>
      <c r="E149" s="3">
        <v>61.7</v>
      </c>
      <c r="F149" s="3">
        <v>1.9</v>
      </c>
      <c r="G149" s="4" t="str">
        <f t="shared" si="10"/>
        <v>Normal</v>
      </c>
      <c r="H149" s="4" t="str">
        <f t="shared" si="11"/>
        <v>Good</v>
      </c>
      <c r="I149" s="4">
        <f t="shared" si="12"/>
        <v>23.73076923076923</v>
      </c>
      <c r="J149" s="4" t="str">
        <f t="shared" si="13"/>
        <v>High</v>
      </c>
      <c r="K149" s="4" t="str">
        <f t="shared" si="14"/>
        <v>Young</v>
      </c>
    </row>
    <row r="150" spans="1:11" x14ac:dyDescent="0.3">
      <c r="A150" s="3">
        <v>164</v>
      </c>
      <c r="B150" s="3">
        <v>13</v>
      </c>
      <c r="C150" s="3">
        <v>2.1</v>
      </c>
      <c r="D150" s="3">
        <v>4.0999999999999996</v>
      </c>
      <c r="E150" s="3">
        <v>79.2</v>
      </c>
      <c r="F150" s="3">
        <v>1.3</v>
      </c>
      <c r="G150" s="4" t="str">
        <f t="shared" si="10"/>
        <v>Normal</v>
      </c>
      <c r="H150" s="4" t="str">
        <f t="shared" si="11"/>
        <v>Good</v>
      </c>
      <c r="I150" s="4">
        <f t="shared" si="12"/>
        <v>37.714285714285715</v>
      </c>
      <c r="J150" s="4" t="str">
        <f t="shared" si="13"/>
        <v>Highly Efficient</v>
      </c>
      <c r="K150" s="4" t="str">
        <f t="shared" si="14"/>
        <v>senior</v>
      </c>
    </row>
    <row r="151" spans="1:11" x14ac:dyDescent="0.3">
      <c r="A151" s="3">
        <v>165</v>
      </c>
      <c r="B151" s="3">
        <v>15</v>
      </c>
      <c r="C151" s="3">
        <v>3.7</v>
      </c>
      <c r="D151" s="3">
        <v>4.3</v>
      </c>
      <c r="E151" s="3">
        <v>70.599999999999994</v>
      </c>
      <c r="F151" s="3">
        <v>0.8</v>
      </c>
      <c r="G151" s="4" t="str">
        <f t="shared" si="10"/>
        <v>Normal</v>
      </c>
      <c r="H151" s="4" t="str">
        <f t="shared" si="11"/>
        <v>Good</v>
      </c>
      <c r="I151" s="4">
        <f t="shared" si="12"/>
        <v>19.081081081081077</v>
      </c>
      <c r="J151" s="4" t="str">
        <f t="shared" si="13"/>
        <v>Moderate</v>
      </c>
      <c r="K151" s="4" t="str">
        <f t="shared" si="14"/>
        <v>Young</v>
      </c>
    </row>
    <row r="152" spans="1:11" x14ac:dyDescent="0.3">
      <c r="A152" s="3">
        <v>166</v>
      </c>
      <c r="B152" s="3">
        <v>14</v>
      </c>
      <c r="C152" s="3">
        <v>1.2</v>
      </c>
      <c r="D152" s="3">
        <v>4.0999999999999996</v>
      </c>
      <c r="E152" s="3">
        <v>79.5</v>
      </c>
      <c r="F152" s="3">
        <v>2.2999999999999998</v>
      </c>
      <c r="G152" s="4" t="str">
        <f t="shared" si="10"/>
        <v>Normal</v>
      </c>
      <c r="H152" s="4" t="str">
        <f t="shared" si="11"/>
        <v>Good</v>
      </c>
      <c r="I152" s="4">
        <f t="shared" si="12"/>
        <v>66.25</v>
      </c>
      <c r="J152" s="4" t="str">
        <f t="shared" si="13"/>
        <v>Highly Efficient</v>
      </c>
      <c r="K152" s="4" t="str">
        <f t="shared" si="14"/>
        <v>senior</v>
      </c>
    </row>
    <row r="153" spans="1:11" x14ac:dyDescent="0.3">
      <c r="A153" s="3">
        <v>167</v>
      </c>
      <c r="B153" s="3">
        <v>16</v>
      </c>
      <c r="C153" s="3">
        <v>4.0999999999999996</v>
      </c>
      <c r="D153" s="3">
        <v>5.2</v>
      </c>
      <c r="E153" s="3">
        <v>82.2</v>
      </c>
      <c r="F153" s="3">
        <v>1.3</v>
      </c>
      <c r="G153" s="4" t="str">
        <f t="shared" si="10"/>
        <v>High screen Time</v>
      </c>
      <c r="H153" s="4" t="str">
        <f t="shared" si="11"/>
        <v>Excellent</v>
      </c>
      <c r="I153" s="4">
        <f t="shared" si="12"/>
        <v>20.04878048780488</v>
      </c>
      <c r="J153" s="4" t="str">
        <f t="shared" si="13"/>
        <v>High</v>
      </c>
      <c r="K153" s="4" t="str">
        <f t="shared" si="14"/>
        <v>Young</v>
      </c>
    </row>
    <row r="154" spans="1:11" x14ac:dyDescent="0.3">
      <c r="A154" s="3">
        <v>168</v>
      </c>
      <c r="B154" s="3">
        <v>15</v>
      </c>
      <c r="C154" s="3">
        <v>1.5</v>
      </c>
      <c r="D154" s="3">
        <v>4.0999999999999996</v>
      </c>
      <c r="E154" s="3">
        <v>48.3</v>
      </c>
      <c r="F154" s="3">
        <v>1.6</v>
      </c>
      <c r="G154" s="4" t="str">
        <f t="shared" si="10"/>
        <v>Normal</v>
      </c>
      <c r="H154" s="4" t="str">
        <f t="shared" si="11"/>
        <v>Average</v>
      </c>
      <c r="I154" s="4">
        <f t="shared" si="12"/>
        <v>32.199999999999996</v>
      </c>
      <c r="J154" s="4" t="str">
        <f t="shared" si="13"/>
        <v>Highly Efficient</v>
      </c>
      <c r="K154" s="4" t="str">
        <f t="shared" si="14"/>
        <v>Young</v>
      </c>
    </row>
    <row r="155" spans="1:11" x14ac:dyDescent="0.3">
      <c r="A155" s="3">
        <v>169</v>
      </c>
      <c r="B155" s="3">
        <v>13</v>
      </c>
      <c r="C155" s="3">
        <v>1.3</v>
      </c>
      <c r="D155" s="3">
        <v>5.2</v>
      </c>
      <c r="E155" s="3">
        <v>62.3</v>
      </c>
      <c r="F155" s="3">
        <v>1.9</v>
      </c>
      <c r="G155" s="4" t="str">
        <f t="shared" si="10"/>
        <v>Normal</v>
      </c>
      <c r="H155" s="4" t="str">
        <f t="shared" si="11"/>
        <v>Good</v>
      </c>
      <c r="I155" s="4">
        <f t="shared" si="12"/>
        <v>47.92307692307692</v>
      </c>
      <c r="J155" s="4" t="str">
        <f t="shared" si="13"/>
        <v>Highly Efficient</v>
      </c>
      <c r="K155" s="4" t="str">
        <f t="shared" si="14"/>
        <v>senior</v>
      </c>
    </row>
    <row r="156" spans="1:11" x14ac:dyDescent="0.3">
      <c r="A156" s="3">
        <v>170</v>
      </c>
      <c r="B156" s="3">
        <v>16</v>
      </c>
      <c r="C156" s="3">
        <v>1.7</v>
      </c>
      <c r="D156" s="3">
        <v>2.8</v>
      </c>
      <c r="E156" s="3">
        <v>63.8</v>
      </c>
      <c r="F156" s="3">
        <v>1.5</v>
      </c>
      <c r="G156" s="4" t="str">
        <f t="shared" si="10"/>
        <v>Normal</v>
      </c>
      <c r="H156" s="4" t="str">
        <f t="shared" si="11"/>
        <v>Good</v>
      </c>
      <c r="I156" s="4">
        <f t="shared" si="12"/>
        <v>37.529411764705884</v>
      </c>
      <c r="J156" s="4" t="str">
        <f t="shared" si="13"/>
        <v>Highly Efficient</v>
      </c>
      <c r="K156" s="4" t="str">
        <f t="shared" si="14"/>
        <v>Young</v>
      </c>
    </row>
    <row r="157" spans="1:11" x14ac:dyDescent="0.3">
      <c r="A157" s="3">
        <v>172</v>
      </c>
      <c r="B157" s="3">
        <v>13</v>
      </c>
      <c r="C157" s="3">
        <v>2.5</v>
      </c>
      <c r="D157" s="3">
        <v>4.4000000000000004</v>
      </c>
      <c r="E157" s="3">
        <v>71.5</v>
      </c>
      <c r="F157" s="3">
        <v>2.2999999999999998</v>
      </c>
      <c r="G157" s="4" t="str">
        <f t="shared" si="10"/>
        <v>Normal</v>
      </c>
      <c r="H157" s="4" t="str">
        <f t="shared" si="11"/>
        <v>Good</v>
      </c>
      <c r="I157" s="4">
        <f t="shared" si="12"/>
        <v>28.6</v>
      </c>
      <c r="J157" s="4" t="str">
        <f t="shared" si="13"/>
        <v>Highly Efficient</v>
      </c>
      <c r="K157" s="4" t="str">
        <f t="shared" si="14"/>
        <v>senior</v>
      </c>
    </row>
    <row r="158" spans="1:11" x14ac:dyDescent="0.3">
      <c r="A158" s="3">
        <v>174</v>
      </c>
      <c r="B158" s="3">
        <v>16</v>
      </c>
      <c r="C158" s="3">
        <v>2.2999999999999998</v>
      </c>
      <c r="D158" s="3">
        <v>2.8</v>
      </c>
      <c r="E158" s="3">
        <v>51.2</v>
      </c>
      <c r="F158" s="3">
        <v>2.2000000000000002</v>
      </c>
      <c r="G158" s="4" t="str">
        <f t="shared" si="10"/>
        <v>Normal</v>
      </c>
      <c r="H158" s="4" t="str">
        <f t="shared" si="11"/>
        <v>Average</v>
      </c>
      <c r="I158" s="4">
        <f t="shared" si="12"/>
        <v>22.260869565217394</v>
      </c>
      <c r="J158" s="4" t="str">
        <f t="shared" si="13"/>
        <v>High</v>
      </c>
      <c r="K158" s="4" t="str">
        <f t="shared" si="14"/>
        <v>Young</v>
      </c>
    </row>
    <row r="159" spans="1:11" x14ac:dyDescent="0.3">
      <c r="A159" s="3">
        <v>175</v>
      </c>
      <c r="B159" s="3">
        <v>16</v>
      </c>
      <c r="C159" s="3">
        <v>2.4</v>
      </c>
      <c r="D159" s="3">
        <v>4.7</v>
      </c>
      <c r="E159" s="3">
        <v>71.400000000000006</v>
      </c>
      <c r="F159" s="3">
        <v>1.9</v>
      </c>
      <c r="G159" s="4" t="str">
        <f t="shared" si="10"/>
        <v>Normal</v>
      </c>
      <c r="H159" s="4" t="str">
        <f t="shared" si="11"/>
        <v>Good</v>
      </c>
      <c r="I159" s="4">
        <f t="shared" si="12"/>
        <v>29.750000000000004</v>
      </c>
      <c r="J159" s="4" t="str">
        <f t="shared" si="13"/>
        <v>Highly Efficient</v>
      </c>
      <c r="K159" s="4" t="str">
        <f t="shared" si="14"/>
        <v>Young</v>
      </c>
    </row>
    <row r="160" spans="1:11" x14ac:dyDescent="0.3">
      <c r="A160" s="3">
        <v>176</v>
      </c>
      <c r="B160" s="3">
        <v>14</v>
      </c>
      <c r="C160" s="3">
        <v>2</v>
      </c>
      <c r="D160" s="3">
        <v>5</v>
      </c>
      <c r="E160" s="3">
        <v>79.8</v>
      </c>
      <c r="F160" s="3">
        <v>3.1</v>
      </c>
      <c r="G160" s="4" t="str">
        <f t="shared" si="10"/>
        <v>Normal</v>
      </c>
      <c r="H160" s="4" t="str">
        <f t="shared" si="11"/>
        <v>Good</v>
      </c>
      <c r="I160" s="4">
        <f t="shared" si="12"/>
        <v>39.9</v>
      </c>
      <c r="J160" s="4" t="str">
        <f t="shared" si="13"/>
        <v>Highly Efficient</v>
      </c>
      <c r="K160" s="4" t="str">
        <f t="shared" si="14"/>
        <v>senior</v>
      </c>
    </row>
    <row r="161" spans="1:11" x14ac:dyDescent="0.3">
      <c r="A161" s="3">
        <v>177</v>
      </c>
      <c r="B161" s="3">
        <v>15</v>
      </c>
      <c r="C161" s="3">
        <v>2.6</v>
      </c>
      <c r="D161" s="3">
        <v>2.2000000000000002</v>
      </c>
      <c r="E161" s="3">
        <v>78.599999999999994</v>
      </c>
      <c r="F161" s="3">
        <v>1.8</v>
      </c>
      <c r="G161" s="4" t="str">
        <f t="shared" si="10"/>
        <v>Normal</v>
      </c>
      <c r="H161" s="4" t="str">
        <f t="shared" si="11"/>
        <v>Good</v>
      </c>
      <c r="I161" s="4">
        <f t="shared" si="12"/>
        <v>30.230769230769226</v>
      </c>
      <c r="J161" s="4" t="str">
        <f t="shared" si="13"/>
        <v>Highly Efficient</v>
      </c>
      <c r="K161" s="4" t="str">
        <f t="shared" si="14"/>
        <v>Young</v>
      </c>
    </row>
    <row r="162" spans="1:11" x14ac:dyDescent="0.3">
      <c r="A162" s="3">
        <v>178</v>
      </c>
      <c r="B162" s="3">
        <v>13</v>
      </c>
      <c r="C162" s="3">
        <v>3</v>
      </c>
      <c r="D162" s="3">
        <v>1.5</v>
      </c>
      <c r="E162" s="3">
        <v>76.2</v>
      </c>
      <c r="F162" s="3">
        <v>2</v>
      </c>
      <c r="G162" s="4" t="str">
        <f t="shared" si="10"/>
        <v>Normal</v>
      </c>
      <c r="H162" s="4" t="str">
        <f t="shared" si="11"/>
        <v>Good</v>
      </c>
      <c r="I162" s="4">
        <f t="shared" si="12"/>
        <v>25.400000000000002</v>
      </c>
      <c r="J162" s="4" t="str">
        <f t="shared" si="13"/>
        <v>Highly Efficient</v>
      </c>
      <c r="K162" s="4" t="str">
        <f t="shared" si="14"/>
        <v>senior</v>
      </c>
    </row>
    <row r="163" spans="1:11" x14ac:dyDescent="0.3">
      <c r="A163" s="3">
        <v>179</v>
      </c>
      <c r="B163" s="3">
        <v>17</v>
      </c>
      <c r="C163" s="3">
        <v>4.2</v>
      </c>
      <c r="D163" s="3">
        <v>4.4000000000000004</v>
      </c>
      <c r="E163" s="3">
        <v>70.099999999999994</v>
      </c>
      <c r="F163" s="3">
        <v>2.4</v>
      </c>
      <c r="G163" s="4" t="str">
        <f t="shared" si="10"/>
        <v>High screen Time</v>
      </c>
      <c r="H163" s="4" t="str">
        <f t="shared" si="11"/>
        <v>Good</v>
      </c>
      <c r="I163" s="4">
        <f t="shared" si="12"/>
        <v>16.69047619047619</v>
      </c>
      <c r="J163" s="4" t="str">
        <f t="shared" si="13"/>
        <v>Moderate</v>
      </c>
      <c r="K163" s="4" t="str">
        <f t="shared" si="14"/>
        <v>Young</v>
      </c>
    </row>
    <row r="164" spans="1:11" x14ac:dyDescent="0.3">
      <c r="A164" s="3">
        <v>180</v>
      </c>
      <c r="B164" s="3">
        <v>13</v>
      </c>
      <c r="C164" s="3">
        <v>0.6</v>
      </c>
      <c r="D164" s="3">
        <v>3.3</v>
      </c>
      <c r="E164" s="3">
        <v>70.599999999999994</v>
      </c>
      <c r="F164" s="3">
        <v>1.6</v>
      </c>
      <c r="G164" s="4" t="str">
        <f t="shared" si="10"/>
        <v>Normal</v>
      </c>
      <c r="H164" s="4" t="str">
        <f t="shared" si="11"/>
        <v>Good</v>
      </c>
      <c r="I164" s="4">
        <f t="shared" si="12"/>
        <v>117.66666666666666</v>
      </c>
      <c r="J164" s="4" t="str">
        <f t="shared" si="13"/>
        <v>Highly Efficient</v>
      </c>
      <c r="K164" s="4" t="str">
        <f t="shared" si="14"/>
        <v>senior</v>
      </c>
    </row>
    <row r="165" spans="1:11" x14ac:dyDescent="0.3">
      <c r="A165" s="3">
        <v>181</v>
      </c>
      <c r="B165" s="3">
        <v>13</v>
      </c>
      <c r="C165" s="3">
        <v>4.0999999999999996</v>
      </c>
      <c r="D165" s="3">
        <v>4.4000000000000004</v>
      </c>
      <c r="E165" s="3">
        <v>53.1</v>
      </c>
      <c r="F165" s="3">
        <v>1</v>
      </c>
      <c r="G165" s="4" t="str">
        <f t="shared" si="10"/>
        <v>High screen Time</v>
      </c>
      <c r="H165" s="4" t="str">
        <f t="shared" si="11"/>
        <v>Average</v>
      </c>
      <c r="I165" s="4">
        <f t="shared" si="12"/>
        <v>12.951219512195124</v>
      </c>
      <c r="J165" s="4" t="str">
        <f t="shared" si="13"/>
        <v>Low</v>
      </c>
      <c r="K165" s="4" t="str">
        <f t="shared" si="14"/>
        <v>senior</v>
      </c>
    </row>
    <row r="166" spans="1:11" x14ac:dyDescent="0.3">
      <c r="A166" s="3">
        <v>182</v>
      </c>
      <c r="B166" s="3">
        <v>15</v>
      </c>
      <c r="C166" s="3">
        <v>3</v>
      </c>
      <c r="D166" s="3">
        <v>2.1</v>
      </c>
      <c r="E166" s="3">
        <v>61</v>
      </c>
      <c r="F166" s="3">
        <v>1.1000000000000001</v>
      </c>
      <c r="G166" s="4" t="str">
        <f t="shared" si="10"/>
        <v>Normal</v>
      </c>
      <c r="H166" s="4" t="str">
        <f t="shared" si="11"/>
        <v>Good</v>
      </c>
      <c r="I166" s="4">
        <f t="shared" si="12"/>
        <v>20.333333333333332</v>
      </c>
      <c r="J166" s="4" t="str">
        <f t="shared" si="13"/>
        <v>High</v>
      </c>
      <c r="K166" s="4" t="str">
        <f t="shared" si="14"/>
        <v>Young</v>
      </c>
    </row>
    <row r="167" spans="1:11" x14ac:dyDescent="0.3">
      <c r="A167" s="3">
        <v>183</v>
      </c>
      <c r="B167" s="3">
        <v>13</v>
      </c>
      <c r="C167" s="3">
        <v>2.1</v>
      </c>
      <c r="D167" s="3">
        <v>1.7</v>
      </c>
      <c r="E167" s="3">
        <v>72.3</v>
      </c>
      <c r="F167" s="3">
        <v>1.1000000000000001</v>
      </c>
      <c r="G167" s="4" t="str">
        <f t="shared" si="10"/>
        <v>Normal</v>
      </c>
      <c r="H167" s="4" t="str">
        <f t="shared" si="11"/>
        <v>Good</v>
      </c>
      <c r="I167" s="4">
        <f t="shared" si="12"/>
        <v>34.428571428571423</v>
      </c>
      <c r="J167" s="4" t="str">
        <f t="shared" si="13"/>
        <v>Highly Efficient</v>
      </c>
      <c r="K167" s="4" t="str">
        <f t="shared" si="14"/>
        <v>senior</v>
      </c>
    </row>
    <row r="168" spans="1:11" x14ac:dyDescent="0.3">
      <c r="A168" s="3">
        <v>184</v>
      </c>
      <c r="B168" s="3">
        <v>14</v>
      </c>
      <c r="C168" s="3">
        <v>2</v>
      </c>
      <c r="D168" s="3">
        <v>4.3</v>
      </c>
      <c r="E168" s="3">
        <v>62.8</v>
      </c>
      <c r="F168" s="3">
        <v>0.7</v>
      </c>
      <c r="G168" s="4" t="str">
        <f t="shared" si="10"/>
        <v>Normal</v>
      </c>
      <c r="H168" s="4" t="str">
        <f t="shared" si="11"/>
        <v>Good</v>
      </c>
      <c r="I168" s="4">
        <f t="shared" si="12"/>
        <v>31.4</v>
      </c>
      <c r="J168" s="4" t="str">
        <f t="shared" si="13"/>
        <v>Highly Efficient</v>
      </c>
      <c r="K168" s="4" t="str">
        <f t="shared" si="14"/>
        <v>senior</v>
      </c>
    </row>
    <row r="169" spans="1:11" x14ac:dyDescent="0.3">
      <c r="A169" s="3">
        <v>185</v>
      </c>
      <c r="B169" s="3">
        <v>14</v>
      </c>
      <c r="C169" s="3">
        <v>3.5</v>
      </c>
      <c r="D169" s="3">
        <v>3.5</v>
      </c>
      <c r="E169" s="3">
        <v>76.900000000000006</v>
      </c>
      <c r="F169" s="3">
        <v>1.8</v>
      </c>
      <c r="G169" s="4" t="str">
        <f t="shared" si="10"/>
        <v>Normal</v>
      </c>
      <c r="H169" s="4" t="str">
        <f t="shared" si="11"/>
        <v>Good</v>
      </c>
      <c r="I169" s="4">
        <f t="shared" si="12"/>
        <v>21.971428571428572</v>
      </c>
      <c r="J169" s="4" t="str">
        <f t="shared" si="13"/>
        <v>High</v>
      </c>
      <c r="K169" s="4" t="str">
        <f t="shared" si="14"/>
        <v>senior</v>
      </c>
    </row>
    <row r="170" spans="1:11" x14ac:dyDescent="0.3">
      <c r="A170" s="3">
        <v>187</v>
      </c>
      <c r="B170" s="3">
        <v>17</v>
      </c>
      <c r="C170" s="3">
        <v>1</v>
      </c>
      <c r="D170" s="3">
        <v>6</v>
      </c>
      <c r="E170" s="3">
        <v>83.7</v>
      </c>
      <c r="F170" s="3">
        <v>1.7</v>
      </c>
      <c r="G170" s="4" t="str">
        <f t="shared" si="10"/>
        <v>Normal</v>
      </c>
      <c r="H170" s="4" t="str">
        <f t="shared" si="11"/>
        <v>Excellent</v>
      </c>
      <c r="I170" s="4">
        <f t="shared" si="12"/>
        <v>83.7</v>
      </c>
      <c r="J170" s="4" t="str">
        <f t="shared" si="13"/>
        <v>Highly Efficient</v>
      </c>
      <c r="K170" s="4" t="str">
        <f t="shared" si="14"/>
        <v>Young</v>
      </c>
    </row>
    <row r="171" spans="1:11" x14ac:dyDescent="0.3">
      <c r="A171" s="3">
        <v>188</v>
      </c>
      <c r="B171" s="3">
        <v>13</v>
      </c>
      <c r="C171" s="3">
        <v>2.9</v>
      </c>
      <c r="D171" s="3">
        <v>2</v>
      </c>
      <c r="E171" s="3">
        <v>79.599999999999994</v>
      </c>
      <c r="F171" s="3">
        <v>1.4</v>
      </c>
      <c r="G171" s="4" t="str">
        <f t="shared" si="10"/>
        <v>Normal</v>
      </c>
      <c r="H171" s="4" t="str">
        <f t="shared" si="11"/>
        <v>Good</v>
      </c>
      <c r="I171" s="4">
        <f t="shared" si="12"/>
        <v>27.448275862068964</v>
      </c>
      <c r="J171" s="4" t="str">
        <f t="shared" si="13"/>
        <v>Highly Efficient</v>
      </c>
      <c r="K171" s="4" t="str">
        <f t="shared" si="14"/>
        <v>senior</v>
      </c>
    </row>
    <row r="172" spans="1:11" x14ac:dyDescent="0.3">
      <c r="A172" s="3">
        <v>189</v>
      </c>
      <c r="B172" s="3">
        <v>13</v>
      </c>
      <c r="C172" s="3">
        <v>3.6</v>
      </c>
      <c r="D172" s="3">
        <v>7.9</v>
      </c>
      <c r="E172" s="3">
        <v>72.3</v>
      </c>
      <c r="F172" s="3">
        <v>1.5</v>
      </c>
      <c r="G172" s="4" t="str">
        <f t="shared" si="10"/>
        <v>Normal</v>
      </c>
      <c r="H172" s="4" t="str">
        <f t="shared" si="11"/>
        <v>Good</v>
      </c>
      <c r="I172" s="4">
        <f t="shared" si="12"/>
        <v>20.083333333333332</v>
      </c>
      <c r="J172" s="4" t="str">
        <f t="shared" si="13"/>
        <v>High</v>
      </c>
      <c r="K172" s="4" t="str">
        <f t="shared" si="14"/>
        <v>senior</v>
      </c>
    </row>
    <row r="173" spans="1:11" x14ac:dyDescent="0.3">
      <c r="A173" s="3">
        <v>190</v>
      </c>
      <c r="B173" s="3">
        <v>15</v>
      </c>
      <c r="C173" s="3">
        <v>3.4</v>
      </c>
      <c r="D173" s="3">
        <v>3.1</v>
      </c>
      <c r="E173" s="3">
        <v>77.5</v>
      </c>
      <c r="F173" s="3">
        <v>1.9</v>
      </c>
      <c r="G173" s="4" t="str">
        <f t="shared" si="10"/>
        <v>Normal</v>
      </c>
      <c r="H173" s="4" t="str">
        <f t="shared" si="11"/>
        <v>Good</v>
      </c>
      <c r="I173" s="4">
        <f t="shared" si="12"/>
        <v>22.794117647058822</v>
      </c>
      <c r="J173" s="4" t="str">
        <f t="shared" si="13"/>
        <v>High</v>
      </c>
      <c r="K173" s="4" t="str">
        <f t="shared" si="14"/>
        <v>Young</v>
      </c>
    </row>
    <row r="174" spans="1:11" x14ac:dyDescent="0.3">
      <c r="A174" s="3">
        <v>191</v>
      </c>
      <c r="B174" s="3">
        <v>14</v>
      </c>
      <c r="C174" s="3">
        <v>1.9</v>
      </c>
      <c r="D174" s="3">
        <v>4.5999999999999996</v>
      </c>
      <c r="E174" s="3">
        <v>80.099999999999994</v>
      </c>
      <c r="F174" s="3">
        <v>1.1000000000000001</v>
      </c>
      <c r="G174" s="4" t="str">
        <f t="shared" si="10"/>
        <v>Normal</v>
      </c>
      <c r="H174" s="4" t="str">
        <f t="shared" si="11"/>
        <v>Excellent</v>
      </c>
      <c r="I174" s="4">
        <f t="shared" si="12"/>
        <v>42.157894736842103</v>
      </c>
      <c r="J174" s="4" t="str">
        <f t="shared" si="13"/>
        <v>Highly Efficient</v>
      </c>
      <c r="K174" s="4" t="str">
        <f t="shared" si="14"/>
        <v>senior</v>
      </c>
    </row>
    <row r="175" spans="1:11" x14ac:dyDescent="0.3">
      <c r="A175" s="3">
        <v>192</v>
      </c>
      <c r="B175" s="3">
        <v>17</v>
      </c>
      <c r="C175" s="3">
        <v>1.2</v>
      </c>
      <c r="D175" s="3">
        <v>6.5</v>
      </c>
      <c r="E175" s="3">
        <v>64.900000000000006</v>
      </c>
      <c r="F175" s="3">
        <v>2</v>
      </c>
      <c r="G175" s="4" t="str">
        <f t="shared" si="10"/>
        <v>Normal</v>
      </c>
      <c r="H175" s="4" t="str">
        <f t="shared" si="11"/>
        <v>Good</v>
      </c>
      <c r="I175" s="4">
        <f t="shared" si="12"/>
        <v>54.083333333333343</v>
      </c>
      <c r="J175" s="4" t="str">
        <f t="shared" si="13"/>
        <v>Highly Efficient</v>
      </c>
      <c r="K175" s="4" t="str">
        <f t="shared" si="14"/>
        <v>Young</v>
      </c>
    </row>
    <row r="176" spans="1:11" x14ac:dyDescent="0.3">
      <c r="A176" s="3">
        <v>193</v>
      </c>
      <c r="B176" s="3">
        <v>16</v>
      </c>
      <c r="C176" s="3">
        <v>2.2000000000000002</v>
      </c>
      <c r="D176" s="3">
        <v>6.2</v>
      </c>
      <c r="E176" s="3">
        <v>66.7</v>
      </c>
      <c r="F176" s="3">
        <v>2.8</v>
      </c>
      <c r="G176" s="4" t="str">
        <f t="shared" si="10"/>
        <v>Normal</v>
      </c>
      <c r="H176" s="4" t="str">
        <f t="shared" si="11"/>
        <v>Good</v>
      </c>
      <c r="I176" s="4">
        <f t="shared" si="12"/>
        <v>30.318181818181817</v>
      </c>
      <c r="J176" s="4" t="str">
        <f t="shared" si="13"/>
        <v>Highly Efficient</v>
      </c>
      <c r="K176" s="4" t="str">
        <f t="shared" si="14"/>
        <v>Young</v>
      </c>
    </row>
    <row r="177" spans="1:11" x14ac:dyDescent="0.3">
      <c r="A177" s="3">
        <v>194</v>
      </c>
      <c r="B177" s="3">
        <v>14</v>
      </c>
      <c r="C177" s="3">
        <v>5.8</v>
      </c>
      <c r="D177" s="3">
        <v>7</v>
      </c>
      <c r="E177" s="3">
        <v>69</v>
      </c>
      <c r="F177" s="3">
        <v>1.8</v>
      </c>
      <c r="G177" s="4" t="str">
        <f t="shared" si="10"/>
        <v>High screen Time</v>
      </c>
      <c r="H177" s="4" t="str">
        <f t="shared" si="11"/>
        <v>Good</v>
      </c>
      <c r="I177" s="4">
        <f t="shared" si="12"/>
        <v>11.896551724137931</v>
      </c>
      <c r="J177" s="4" t="str">
        <f t="shared" si="13"/>
        <v>Low</v>
      </c>
      <c r="K177" s="4" t="str">
        <f t="shared" si="14"/>
        <v>senior</v>
      </c>
    </row>
    <row r="178" spans="1:11" x14ac:dyDescent="0.3">
      <c r="A178" s="3">
        <v>195</v>
      </c>
      <c r="B178" s="3">
        <v>16</v>
      </c>
      <c r="C178" s="3">
        <v>1</v>
      </c>
      <c r="D178" s="3">
        <v>1.7</v>
      </c>
      <c r="E178" s="3">
        <v>65.2</v>
      </c>
      <c r="F178" s="3">
        <v>0.9</v>
      </c>
      <c r="G178" s="4" t="str">
        <f t="shared" si="10"/>
        <v>Normal</v>
      </c>
      <c r="H178" s="4" t="str">
        <f t="shared" si="11"/>
        <v>Good</v>
      </c>
      <c r="I178" s="4">
        <f t="shared" si="12"/>
        <v>65.2</v>
      </c>
      <c r="J178" s="4" t="str">
        <f t="shared" si="13"/>
        <v>Highly Efficient</v>
      </c>
      <c r="K178" s="4" t="str">
        <f t="shared" si="14"/>
        <v>Young</v>
      </c>
    </row>
    <row r="179" spans="1:11" x14ac:dyDescent="0.3">
      <c r="A179" s="3">
        <v>196</v>
      </c>
      <c r="B179" s="3">
        <v>15</v>
      </c>
      <c r="C179" s="3">
        <v>1.7</v>
      </c>
      <c r="D179" s="3">
        <v>2.2999999999999998</v>
      </c>
      <c r="E179" s="3">
        <v>80.2</v>
      </c>
      <c r="F179" s="3">
        <v>1</v>
      </c>
      <c r="G179" s="4" t="str">
        <f t="shared" si="10"/>
        <v>Normal</v>
      </c>
      <c r="H179" s="4" t="str">
        <f t="shared" si="11"/>
        <v>Excellent</v>
      </c>
      <c r="I179" s="4">
        <f t="shared" si="12"/>
        <v>47.176470588235297</v>
      </c>
      <c r="J179" s="4" t="str">
        <f t="shared" si="13"/>
        <v>Highly Efficient</v>
      </c>
      <c r="K179" s="4" t="str">
        <f t="shared" si="14"/>
        <v>Young</v>
      </c>
    </row>
    <row r="180" spans="1:11" x14ac:dyDescent="0.3">
      <c r="A180" s="3">
        <v>197</v>
      </c>
      <c r="B180" s="3">
        <v>15</v>
      </c>
      <c r="C180" s="3">
        <v>2.9</v>
      </c>
      <c r="D180" s="3">
        <v>4.3</v>
      </c>
      <c r="E180" s="3">
        <v>63.7</v>
      </c>
      <c r="F180" s="3">
        <v>1.3</v>
      </c>
      <c r="G180" s="4" t="str">
        <f t="shared" si="10"/>
        <v>Normal</v>
      </c>
      <c r="H180" s="4" t="str">
        <f t="shared" si="11"/>
        <v>Good</v>
      </c>
      <c r="I180" s="4">
        <f t="shared" si="12"/>
        <v>21.965517241379313</v>
      </c>
      <c r="J180" s="4" t="str">
        <f t="shared" si="13"/>
        <v>High</v>
      </c>
      <c r="K180" s="4" t="str">
        <f t="shared" si="14"/>
        <v>Young</v>
      </c>
    </row>
    <row r="181" spans="1:11" x14ac:dyDescent="0.3">
      <c r="A181" s="3">
        <v>198</v>
      </c>
      <c r="B181" s="3">
        <v>13</v>
      </c>
      <c r="C181" s="3">
        <v>2.4</v>
      </c>
      <c r="D181" s="3">
        <v>5.3</v>
      </c>
      <c r="E181" s="3">
        <v>82.5</v>
      </c>
      <c r="F181" s="3">
        <v>1</v>
      </c>
      <c r="G181" s="4" t="str">
        <f t="shared" si="10"/>
        <v>Normal</v>
      </c>
      <c r="H181" s="4" t="str">
        <f t="shared" si="11"/>
        <v>Excellent</v>
      </c>
      <c r="I181" s="4">
        <f t="shared" si="12"/>
        <v>34.375</v>
      </c>
      <c r="J181" s="4" t="str">
        <f t="shared" si="13"/>
        <v>Highly Efficient</v>
      </c>
      <c r="K181" s="4" t="str">
        <f t="shared" si="14"/>
        <v>senior</v>
      </c>
    </row>
    <row r="182" spans="1:11" x14ac:dyDescent="0.3">
      <c r="A182" s="3">
        <v>199</v>
      </c>
      <c r="B182" s="3">
        <v>17</v>
      </c>
      <c r="C182" s="3">
        <v>2.2999999999999998</v>
      </c>
      <c r="D182" s="3">
        <v>4</v>
      </c>
      <c r="E182" s="3">
        <v>66.3</v>
      </c>
      <c r="F182" s="3">
        <v>0.7</v>
      </c>
      <c r="G182" s="4" t="str">
        <f t="shared" si="10"/>
        <v>Normal</v>
      </c>
      <c r="H182" s="4" t="str">
        <f t="shared" si="11"/>
        <v>Good</v>
      </c>
      <c r="I182" s="4">
        <f t="shared" si="12"/>
        <v>28.826086956521738</v>
      </c>
      <c r="J182" s="4" t="str">
        <f t="shared" si="13"/>
        <v>Highly Efficient</v>
      </c>
      <c r="K182" s="4" t="str">
        <f t="shared" si="14"/>
        <v>Young</v>
      </c>
    </row>
    <row r="183" spans="1:11" x14ac:dyDescent="0.3">
      <c r="A183" s="3">
        <v>200</v>
      </c>
      <c r="B183" s="3">
        <v>16</v>
      </c>
      <c r="C183" s="3">
        <v>4.5</v>
      </c>
      <c r="D183" s="3">
        <v>1.5</v>
      </c>
      <c r="E183" s="3">
        <v>74.7</v>
      </c>
      <c r="F183" s="3">
        <v>1.6</v>
      </c>
      <c r="G183" s="4" t="str">
        <f t="shared" si="10"/>
        <v>High screen Time</v>
      </c>
      <c r="H183" s="4" t="str">
        <f t="shared" si="11"/>
        <v>Good</v>
      </c>
      <c r="I183" s="4">
        <f t="shared" si="12"/>
        <v>16.600000000000001</v>
      </c>
      <c r="J183" s="4" t="str">
        <f t="shared" si="13"/>
        <v>Moderate</v>
      </c>
      <c r="K183" s="4" t="str">
        <f t="shared" si="14"/>
        <v>Young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5E54-6379-42F1-B77B-AC2938C426BE}">
  <dimension ref="A3:C31"/>
  <sheetViews>
    <sheetView workbookViewId="0">
      <selection activeCell="C31" sqref="C31"/>
    </sheetView>
  </sheetViews>
  <sheetFormatPr defaultRowHeight="14.4" x14ac:dyDescent="0.3"/>
  <cols>
    <col min="1" max="1" width="14.88671875" bestFit="1" customWidth="1"/>
    <col min="2" max="2" width="24.6640625" customWidth="1"/>
    <col min="3" max="3" width="29.44140625" customWidth="1"/>
    <col min="4" max="4" width="10.6640625" bestFit="1" customWidth="1"/>
  </cols>
  <sheetData>
    <row r="3" spans="1:2" x14ac:dyDescent="0.3">
      <c r="A3" s="2" t="s">
        <v>11</v>
      </c>
      <c r="B3" t="s">
        <v>12</v>
      </c>
    </row>
    <row r="4" spans="1:2" x14ac:dyDescent="0.3">
      <c r="A4" s="1" t="s">
        <v>13</v>
      </c>
      <c r="B4">
        <v>4.4933333333333341</v>
      </c>
    </row>
    <row r="5" spans="1:2" x14ac:dyDescent="0.3">
      <c r="A5" s="1" t="s">
        <v>14</v>
      </c>
      <c r="B5">
        <v>3.9808383233532938</v>
      </c>
    </row>
    <row r="6" spans="1:2" x14ac:dyDescent="0.3">
      <c r="A6" s="1" t="s">
        <v>15</v>
      </c>
      <c r="B6">
        <v>4.023076923076923</v>
      </c>
    </row>
    <row r="16" spans="1:2" x14ac:dyDescent="0.3">
      <c r="A16" s="2" t="s">
        <v>11</v>
      </c>
      <c r="B16" t="s">
        <v>16</v>
      </c>
    </row>
    <row r="17" spans="1:3" x14ac:dyDescent="0.3">
      <c r="A17" s="1" t="s">
        <v>13</v>
      </c>
      <c r="B17">
        <v>1.6066666666666667</v>
      </c>
    </row>
    <row r="18" spans="1:3" x14ac:dyDescent="0.3">
      <c r="A18" s="1" t="s">
        <v>14</v>
      </c>
      <c r="B18">
        <v>1.5413173652694609</v>
      </c>
    </row>
    <row r="19" spans="1:3" x14ac:dyDescent="0.3">
      <c r="A19" s="1" t="s">
        <v>15</v>
      </c>
      <c r="B19">
        <v>1.546703296703297</v>
      </c>
    </row>
    <row r="28" spans="1:3" x14ac:dyDescent="0.3">
      <c r="B28" s="2" t="s">
        <v>11</v>
      </c>
      <c r="C28" t="s">
        <v>17</v>
      </c>
    </row>
    <row r="29" spans="1:3" x14ac:dyDescent="0.3">
      <c r="B29" s="1" t="s">
        <v>18</v>
      </c>
      <c r="C29">
        <v>71.862318840579704</v>
      </c>
    </row>
    <row r="30" spans="1:3" x14ac:dyDescent="0.3">
      <c r="B30" s="1" t="s">
        <v>19</v>
      </c>
      <c r="C30">
        <v>70.133628318584073</v>
      </c>
    </row>
    <row r="31" spans="1:3" x14ac:dyDescent="0.3">
      <c r="B31" s="1" t="s">
        <v>15</v>
      </c>
      <c r="C31">
        <v>70.789010989011004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A032-8CB5-4F1F-8ED8-8468340FA3D2}">
  <dimension ref="A1"/>
  <sheetViews>
    <sheetView workbookViewId="0">
      <selection activeCell="C12" sqref="C12"/>
    </sheetView>
  </sheetViews>
  <sheetFormatPr defaultRowHeight="14.4" x14ac:dyDescent="0.3"/>
  <cols>
    <col min="2" max="2" width="17.88671875" customWidth="1"/>
    <col min="3" max="3" width="17.109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</dc:creator>
  <cp:lastModifiedBy>sravan kumar</cp:lastModifiedBy>
  <dcterms:created xsi:type="dcterms:W3CDTF">2026-03-17T15:51:11Z</dcterms:created>
  <dcterms:modified xsi:type="dcterms:W3CDTF">2026-03-17T16:29:46Z</dcterms:modified>
</cp:coreProperties>
</file>