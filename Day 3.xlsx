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562d1b7525992b3e/Desktop/"/>
    </mc:Choice>
  </mc:AlternateContent>
  <xr:revisionPtr revIDLastSave="0" documentId="8_{69CEE180-4ACA-4FED-9F9D-A5CA678D7259}" xr6:coauthVersionLast="47" xr6:coauthVersionMax="47" xr10:uidLastSave="{00000000-0000-0000-0000-000000000000}"/>
  <bookViews>
    <workbookView xWindow="-108" yWindow="-108" windowWidth="23256" windowHeight="13176" activeTab="5" xr2:uid="{9A4D92E4-C577-400C-9739-C2A0223DBDF0}"/>
  </bookViews>
  <sheets>
    <sheet name="1" sheetId="3" r:id="rId1"/>
    <sheet name="2" sheetId="4" r:id="rId2"/>
    <sheet name="3" sheetId="5" r:id="rId3"/>
    <sheet name="4" sheetId="6" r:id="rId4"/>
    <sheet name="summary" sheetId="9" r:id="rId5"/>
    <sheet name="Dashboard" sheetId="7" r:id="rId6"/>
    <sheet name="Child_Health_Data" sheetId="1" r:id="rId7"/>
  </sheets>
  <definedNames>
    <definedName name="Slicer_Age_Months">#N/A</definedName>
    <definedName name="Slicer_Daily_Fruit_Servings">#N/A</definedName>
    <definedName name="Slicer_Daily_Sugar_Drinks">#N/A</definedName>
    <definedName name="Slicer_Gender">#N/A</definedName>
    <definedName name="Slicer_Health_Status">#N/A</definedName>
    <definedName name="Slicer_Region">#N/A</definedName>
    <definedName name="Slicer_ScreenTime_Hours">#N/A</definedName>
  </definedNames>
  <calcPr calcId="191029"/>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 i="1" l="1"/>
  <c r="O7" i="1"/>
  <c r="O6" i="1"/>
  <c r="K3" i="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0" i="1"/>
  <c r="L20" i="1" s="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L43" i="1" s="1"/>
  <c r="K44" i="1"/>
  <c r="L44" i="1" s="1"/>
  <c r="K45" i="1"/>
  <c r="L45" i="1" s="1"/>
  <c r="K46" i="1"/>
  <c r="L46" i="1" s="1"/>
  <c r="K47" i="1"/>
  <c r="L47" i="1" s="1"/>
  <c r="K2" i="1"/>
  <c r="L2" i="1" s="1"/>
</calcChain>
</file>

<file path=xl/sharedStrings.xml><?xml version="1.0" encoding="utf-8"?>
<sst xmlns="http://schemas.openxmlformats.org/spreadsheetml/2006/main" count="180" uniqueCount="77">
  <si>
    <t>Age_Months</t>
  </si>
  <si>
    <t>Gender</t>
  </si>
  <si>
    <t>Height_cm</t>
  </si>
  <si>
    <t>Weight_kg</t>
  </si>
  <si>
    <t>Daily_Fruit_Servings</t>
  </si>
  <si>
    <t>Daily_Veggie_Servings</t>
  </si>
  <si>
    <t>Daily_Sugar_Drinks</t>
  </si>
  <si>
    <t>ScreenTime_Hours</t>
  </si>
  <si>
    <t>Region</t>
  </si>
  <si>
    <t>Female</t>
  </si>
  <si>
    <t>South</t>
  </si>
  <si>
    <t>Central</t>
  </si>
  <si>
    <t>Male</t>
  </si>
  <si>
    <t>East</t>
  </si>
  <si>
    <t>North</t>
  </si>
  <si>
    <t>West</t>
  </si>
  <si>
    <t>C1</t>
  </si>
  <si>
    <t>C3</t>
  </si>
  <si>
    <t>C5</t>
  </si>
  <si>
    <t>C6</t>
  </si>
  <si>
    <t>C8</t>
  </si>
  <si>
    <t>C9</t>
  </si>
  <si>
    <t>C15</t>
  </si>
  <si>
    <t>C16</t>
  </si>
  <si>
    <t>C18</t>
  </si>
  <si>
    <t>C19</t>
  </si>
  <si>
    <t>C21</t>
  </si>
  <si>
    <t>C22</t>
  </si>
  <si>
    <t>C23</t>
  </si>
  <si>
    <t>C24</t>
  </si>
  <si>
    <t>C26</t>
  </si>
  <si>
    <t>C28</t>
  </si>
  <si>
    <t>C29</t>
  </si>
  <si>
    <t>C32</t>
  </si>
  <si>
    <t>C35</t>
  </si>
  <si>
    <t>C38</t>
  </si>
  <si>
    <t>C39</t>
  </si>
  <si>
    <t>C46</t>
  </si>
  <si>
    <t>C49</t>
  </si>
  <si>
    <t>C51</t>
  </si>
  <si>
    <t>C53</t>
  </si>
  <si>
    <t>C56</t>
  </si>
  <si>
    <t>C57</t>
  </si>
  <si>
    <t>C58</t>
  </si>
  <si>
    <t>C59</t>
  </si>
  <si>
    <t>C64</t>
  </si>
  <si>
    <t>C66</t>
  </si>
  <si>
    <t>C71</t>
  </si>
  <si>
    <t>C72</t>
  </si>
  <si>
    <t>C73</t>
  </si>
  <si>
    <t>C75</t>
  </si>
  <si>
    <t>C79</t>
  </si>
  <si>
    <t>C81</t>
  </si>
  <si>
    <t>C82</t>
  </si>
  <si>
    <t>C83</t>
  </si>
  <si>
    <t>C84</t>
  </si>
  <si>
    <t>C88</t>
  </si>
  <si>
    <t>C93</t>
  </si>
  <si>
    <t>C94</t>
  </si>
  <si>
    <t>BMI</t>
  </si>
  <si>
    <t>Health_Status</t>
  </si>
  <si>
    <t>Row Labels</t>
  </si>
  <si>
    <t>(blank)</t>
  </si>
  <si>
    <t>Grand Total</t>
  </si>
  <si>
    <t>Obese</t>
  </si>
  <si>
    <t>Underweight</t>
  </si>
  <si>
    <t>Healthy Weight</t>
  </si>
  <si>
    <t>Average of Age_Months</t>
  </si>
  <si>
    <t>Count of ChildID</t>
  </si>
  <si>
    <t>Column Labels</t>
  </si>
  <si>
    <t>Average of BMI</t>
  </si>
  <si>
    <t>Average of Daily_Sugar_Drinks</t>
  </si>
  <si>
    <t>Average of ScreenTime_Hours</t>
  </si>
  <si>
    <t>Average of Daily_Fruit_Servings</t>
  </si>
  <si>
    <t>Child_ID</t>
  </si>
  <si>
    <t>C4</t>
  </si>
  <si>
    <t>Total Child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</si>
</sst>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gradientFill degree="90">
        <stop position="0">
          <color theme="0"/>
        </stop>
        <stop position="1">
          <color theme="9" tint="0.59999389629810485"/>
        </stop>
      </gradient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16" fillId="33" borderId="10" xfId="0" applyFont="1" applyFill="1" applyBorder="1"/>
    <xf numFmtId="0" fontId="16" fillId="33" borderId="10" xfId="0" applyFont="1" applyFill="1" applyBorder="1" applyAlignment="1">
      <alignment horizontal="center"/>
    </xf>
    <xf numFmtId="0" fontId="0" fillId="34" borderId="10" xfId="0" applyFill="1" applyBorder="1"/>
    <xf numFmtId="0" fontId="0" fillId="34" borderId="10" xfId="0"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microsoft.com/office/2017/10/relationships/person" Target="persons/perso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3.xlsx]1!PivotTable2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'1'!$B$3</c:f>
              <c:strCache>
                <c:ptCount val="1"/>
                <c:pt idx="0">
                  <c:v>Average of Age_Months</c:v>
                </c:pt>
              </c:strCache>
            </c:strRef>
          </c:tx>
          <c:spPr>
            <a:solidFill>
              <a:schemeClr val="accent1"/>
            </a:solidFill>
            <a:ln>
              <a:noFill/>
            </a:ln>
            <a:effectLst/>
          </c:spPr>
          <c:invertIfNegative val="0"/>
          <c:cat>
            <c:strRef>
              <c:f>'1'!$A$4:$A$6</c:f>
              <c:strCache>
                <c:ptCount val="2"/>
                <c:pt idx="0">
                  <c:v>Obese</c:v>
                </c:pt>
                <c:pt idx="1">
                  <c:v>Underweight</c:v>
                </c:pt>
              </c:strCache>
            </c:strRef>
          </c:cat>
          <c:val>
            <c:numRef>
              <c:f>'1'!$B$4:$B$6</c:f>
              <c:numCache>
                <c:formatCode>General</c:formatCode>
                <c:ptCount val="2"/>
                <c:pt idx="0">
                  <c:v>3</c:v>
                </c:pt>
                <c:pt idx="1">
                  <c:v>3</c:v>
                </c:pt>
              </c:numCache>
            </c:numRef>
          </c:val>
          <c:extLst>
            <c:ext xmlns:c16="http://schemas.microsoft.com/office/drawing/2014/chart" uri="{C3380CC4-5D6E-409C-BE32-E72D297353CC}">
              <c16:uniqueId val="{00000000-F79B-4868-B516-D2D30FA5219B}"/>
            </c:ext>
          </c:extLst>
        </c:ser>
        <c:ser>
          <c:idx val="1"/>
          <c:order val="1"/>
          <c:tx>
            <c:strRef>
              <c:f>'1'!$C$3</c:f>
              <c:strCache>
                <c:ptCount val="1"/>
                <c:pt idx="0">
                  <c:v>Count of ChildID</c:v>
                </c:pt>
              </c:strCache>
            </c:strRef>
          </c:tx>
          <c:spPr>
            <a:solidFill>
              <a:schemeClr val="accent2"/>
            </a:solidFill>
            <a:ln>
              <a:noFill/>
            </a:ln>
            <a:effectLst/>
          </c:spPr>
          <c:invertIfNegative val="0"/>
          <c:cat>
            <c:strRef>
              <c:f>'1'!$A$4:$A$6</c:f>
              <c:strCache>
                <c:ptCount val="2"/>
                <c:pt idx="0">
                  <c:v>Obese</c:v>
                </c:pt>
                <c:pt idx="1">
                  <c:v>Underweight</c:v>
                </c:pt>
              </c:strCache>
            </c:strRef>
          </c:cat>
          <c:val>
            <c:numRef>
              <c:f>'1'!$C$4:$C$6</c:f>
              <c:numCache>
                <c:formatCode>General</c:formatCode>
                <c:ptCount val="2"/>
                <c:pt idx="0">
                  <c:v>1</c:v>
                </c:pt>
                <c:pt idx="1">
                  <c:v>2</c:v>
                </c:pt>
              </c:numCache>
            </c:numRef>
          </c:val>
          <c:extLst>
            <c:ext xmlns:c16="http://schemas.microsoft.com/office/drawing/2014/chart" uri="{C3380CC4-5D6E-409C-BE32-E72D297353CC}">
              <c16:uniqueId val="{00000002-F79B-4868-B516-D2D30FA5219B}"/>
            </c:ext>
          </c:extLst>
        </c:ser>
        <c:dLbls>
          <c:showLegendKey val="0"/>
          <c:showVal val="0"/>
          <c:showCatName val="0"/>
          <c:showSerName val="0"/>
          <c:showPercent val="0"/>
          <c:showBubbleSize val="0"/>
        </c:dLbls>
        <c:gapWidth val="219"/>
        <c:overlap val="-27"/>
        <c:axId val="1560768143"/>
        <c:axId val="1560771023"/>
      </c:barChart>
      <c:catAx>
        <c:axId val="156076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71023"/>
        <c:crosses val="autoZero"/>
        <c:auto val="1"/>
        <c:lblAlgn val="ctr"/>
        <c:lblOffset val="100"/>
        <c:noMultiLvlLbl val="0"/>
      </c:catAx>
      <c:valAx>
        <c:axId val="1560771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6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3.xlsx]2!PivotTable3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'2'!$B$3:$B$4</c:f>
              <c:strCache>
                <c:ptCount val="1"/>
                <c:pt idx="0">
                  <c:v>1</c:v>
                </c:pt>
              </c:strCache>
            </c:strRef>
          </c:tx>
          <c:spPr>
            <a:solidFill>
              <a:schemeClr val="accent1"/>
            </a:solidFill>
            <a:ln>
              <a:noFill/>
            </a:ln>
            <a:effectLst/>
          </c:spPr>
          <c:invertIfNegative val="0"/>
          <c:cat>
            <c:strRef>
              <c:f>'2'!$A$5:$A$9</c:f>
              <c:strCache>
                <c:ptCount val="4"/>
                <c:pt idx="0">
                  <c:v>1</c:v>
                </c:pt>
                <c:pt idx="1">
                  <c:v>2</c:v>
                </c:pt>
                <c:pt idx="2">
                  <c:v>3</c:v>
                </c:pt>
                <c:pt idx="3">
                  <c:v>4</c:v>
                </c:pt>
              </c:strCache>
            </c:strRef>
          </c:cat>
          <c:val>
            <c:numRef>
              <c:f>'2'!$B$5:$B$9</c:f>
              <c:numCache>
                <c:formatCode>General</c:formatCode>
                <c:ptCount val="4"/>
                <c:pt idx="0">
                  <c:v>16.411348608910586</c:v>
                </c:pt>
                <c:pt idx="3">
                  <c:v>784.13634755984822</c:v>
                </c:pt>
              </c:numCache>
            </c:numRef>
          </c:val>
          <c:extLst>
            <c:ext xmlns:c16="http://schemas.microsoft.com/office/drawing/2014/chart" uri="{C3380CC4-5D6E-409C-BE32-E72D297353CC}">
              <c16:uniqueId val="{00000000-E6EE-4DCE-8BAF-3B877DA17139}"/>
            </c:ext>
          </c:extLst>
        </c:ser>
        <c:ser>
          <c:idx val="1"/>
          <c:order val="1"/>
          <c:tx>
            <c:strRef>
              <c:f>'2'!$C$3:$C$4</c:f>
              <c:strCache>
                <c:ptCount val="1"/>
                <c:pt idx="0">
                  <c:v>2</c:v>
                </c:pt>
              </c:strCache>
            </c:strRef>
          </c:tx>
          <c:spPr>
            <a:solidFill>
              <a:schemeClr val="accent2"/>
            </a:solidFill>
            <a:ln>
              <a:noFill/>
            </a:ln>
            <a:effectLst/>
          </c:spPr>
          <c:invertIfNegative val="0"/>
          <c:cat>
            <c:strRef>
              <c:f>'2'!$A$5:$A$9</c:f>
              <c:strCache>
                <c:ptCount val="4"/>
                <c:pt idx="0">
                  <c:v>1</c:v>
                </c:pt>
                <c:pt idx="1">
                  <c:v>2</c:v>
                </c:pt>
                <c:pt idx="2">
                  <c:v>3</c:v>
                </c:pt>
                <c:pt idx="3">
                  <c:v>4</c:v>
                </c:pt>
              </c:strCache>
            </c:strRef>
          </c:cat>
          <c:val>
            <c:numRef>
              <c:f>'2'!$C$5:$C$9</c:f>
              <c:numCache>
                <c:formatCode>General</c:formatCode>
                <c:ptCount val="4"/>
                <c:pt idx="1">
                  <c:v>619.6778155615483</c:v>
                </c:pt>
                <c:pt idx="2">
                  <c:v>1013.3506838670743</c:v>
                </c:pt>
                <c:pt idx="3">
                  <c:v>579.99307806809895</c:v>
                </c:pt>
              </c:numCache>
            </c:numRef>
          </c:val>
          <c:extLst>
            <c:ext xmlns:c16="http://schemas.microsoft.com/office/drawing/2014/chart" uri="{C3380CC4-5D6E-409C-BE32-E72D297353CC}">
              <c16:uniqueId val="{00000004-E6EE-4DCE-8BAF-3B877DA17139}"/>
            </c:ext>
          </c:extLst>
        </c:ser>
        <c:ser>
          <c:idx val="2"/>
          <c:order val="2"/>
          <c:tx>
            <c:strRef>
              <c:f>'2'!$D$3:$D$4</c:f>
              <c:strCache>
                <c:ptCount val="1"/>
                <c:pt idx="0">
                  <c:v>3</c:v>
                </c:pt>
              </c:strCache>
            </c:strRef>
          </c:tx>
          <c:spPr>
            <a:solidFill>
              <a:schemeClr val="accent3"/>
            </a:solidFill>
            <a:ln>
              <a:noFill/>
            </a:ln>
            <a:effectLst/>
          </c:spPr>
          <c:invertIfNegative val="0"/>
          <c:cat>
            <c:strRef>
              <c:f>'2'!$A$5:$A$9</c:f>
              <c:strCache>
                <c:ptCount val="4"/>
                <c:pt idx="0">
                  <c:v>1</c:v>
                </c:pt>
                <c:pt idx="1">
                  <c:v>2</c:v>
                </c:pt>
                <c:pt idx="2">
                  <c:v>3</c:v>
                </c:pt>
                <c:pt idx="3">
                  <c:v>4</c:v>
                </c:pt>
              </c:strCache>
            </c:strRef>
          </c:cat>
          <c:val>
            <c:numRef>
              <c:f>'2'!$D$5:$D$9</c:f>
              <c:numCache>
                <c:formatCode>General</c:formatCode>
                <c:ptCount val="4"/>
                <c:pt idx="0">
                  <c:v>17.059205462973896</c:v>
                </c:pt>
                <c:pt idx="2">
                  <c:v>19.185127564907393</c:v>
                </c:pt>
                <c:pt idx="3">
                  <c:v>14.190800401461026</c:v>
                </c:pt>
              </c:numCache>
            </c:numRef>
          </c:val>
          <c:extLst>
            <c:ext xmlns:c16="http://schemas.microsoft.com/office/drawing/2014/chart" uri="{C3380CC4-5D6E-409C-BE32-E72D297353CC}">
              <c16:uniqueId val="{00000005-E6EE-4DCE-8BAF-3B877DA17139}"/>
            </c:ext>
          </c:extLst>
        </c:ser>
        <c:ser>
          <c:idx val="3"/>
          <c:order val="3"/>
          <c:tx>
            <c:strRef>
              <c:f>'2'!$E$3:$E$4</c:f>
              <c:strCache>
                <c:ptCount val="1"/>
                <c:pt idx="0">
                  <c:v>4</c:v>
                </c:pt>
              </c:strCache>
            </c:strRef>
          </c:tx>
          <c:spPr>
            <a:solidFill>
              <a:schemeClr val="accent4"/>
            </a:solidFill>
            <a:ln>
              <a:noFill/>
            </a:ln>
            <a:effectLst/>
          </c:spPr>
          <c:invertIfNegative val="0"/>
          <c:cat>
            <c:strRef>
              <c:f>'2'!$A$5:$A$9</c:f>
              <c:strCache>
                <c:ptCount val="4"/>
                <c:pt idx="0">
                  <c:v>1</c:v>
                </c:pt>
                <c:pt idx="1">
                  <c:v>2</c:v>
                </c:pt>
                <c:pt idx="2">
                  <c:v>3</c:v>
                </c:pt>
                <c:pt idx="3">
                  <c:v>4</c:v>
                </c:pt>
              </c:strCache>
            </c:strRef>
          </c:cat>
          <c:val>
            <c:numRef>
              <c:f>'2'!$E$5:$E$9</c:f>
              <c:numCache>
                <c:formatCode>General</c:formatCode>
                <c:ptCount val="4"/>
                <c:pt idx="1">
                  <c:v>686.41975308641975</c:v>
                </c:pt>
                <c:pt idx="2">
                  <c:v>15.839176320537135</c:v>
                </c:pt>
              </c:numCache>
            </c:numRef>
          </c:val>
          <c:extLst>
            <c:ext xmlns:c16="http://schemas.microsoft.com/office/drawing/2014/chart" uri="{C3380CC4-5D6E-409C-BE32-E72D297353CC}">
              <c16:uniqueId val="{00000006-E6EE-4DCE-8BAF-3B877DA17139}"/>
            </c:ext>
          </c:extLst>
        </c:ser>
        <c:dLbls>
          <c:showLegendKey val="0"/>
          <c:showVal val="0"/>
          <c:showCatName val="0"/>
          <c:showSerName val="0"/>
          <c:showPercent val="0"/>
          <c:showBubbleSize val="0"/>
        </c:dLbls>
        <c:gapWidth val="219"/>
        <c:overlap val="-27"/>
        <c:axId val="1560778703"/>
        <c:axId val="1560782063"/>
      </c:barChart>
      <c:catAx>
        <c:axId val="156077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82063"/>
        <c:crosses val="autoZero"/>
        <c:auto val="1"/>
        <c:lblAlgn val="ctr"/>
        <c:lblOffset val="100"/>
        <c:noMultiLvlLbl val="0"/>
      </c:catAx>
      <c:valAx>
        <c:axId val="156078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7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3.xlsx]3!PivotTable4</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'3'!$B$3</c:f>
              <c:strCache>
                <c:ptCount val="1"/>
                <c:pt idx="0">
                  <c:v>Average of Daily_Sugar_Drinks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'3'!$A$4:$A$8</c:f>
              <c:strCache>
                <c:ptCount val="4"/>
                <c:pt idx="0">
                  <c:v>Healthy Weight</c:v>
                </c:pt>
                <c:pt idx="1">
                  <c:v>Obese</c:v>
                </c:pt>
                <c:pt idx="2">
                  <c:v>Underweight</c:v>
                </c:pt>
                <c:pt idx="3">
                  <c:v>(blank)</c:v>
                </c:pt>
              </c:strCache>
            </c:strRef>
          </c:cat>
          <c:val>
            <c:numRef>
              <c:f>'3'!$B$4:$B$8</c:f>
              <c:numCache>
                <c:formatCode>General</c:formatCode>
                <c:ptCount val="4"/>
                <c:pt idx="0">
                  <c:v>2</c:v>
                </c:pt>
                <c:pt idx="1">
                  <c:v>1.875</c:v>
                </c:pt>
                <c:pt idx="2">
                  <c:v>2.1764705882352939</c:v>
                </c:pt>
              </c:numCache>
            </c:numRef>
          </c:val>
          <c:extLst>
            <c:ext xmlns:c16="http://schemas.microsoft.com/office/drawing/2014/chart" uri="{C3380CC4-5D6E-409C-BE32-E72D297353CC}">
              <c16:uniqueId val="{00000000-4844-4B67-B662-63ABD7EDCD49}"/>
            </c:ext>
          </c:extLst>
        </c:ser>
        <c:ser>
          <c:idx val="1"/>
          <c:order val="1"/>
          <c:tx>
            <c:strRef>
              <c:f>'3'!$C$3</c:f>
              <c:strCache>
                <c:ptCount val="1"/>
                <c:pt idx="0">
                  <c:v>Average of ScreenTime_Hours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'3'!$A$4:$A$8</c:f>
              <c:strCache>
                <c:ptCount val="4"/>
                <c:pt idx="0">
                  <c:v>Healthy Weight</c:v>
                </c:pt>
                <c:pt idx="1">
                  <c:v>Obese</c:v>
                </c:pt>
                <c:pt idx="2">
                  <c:v>Underweight</c:v>
                </c:pt>
                <c:pt idx="3">
                  <c:v>(blank)</c:v>
                </c:pt>
              </c:strCache>
            </c:strRef>
          </c:cat>
          <c:val>
            <c:numRef>
              <c:f>'3'!$C$4:$C$8</c:f>
              <c:numCache>
                <c:formatCode>General</c:formatCode>
                <c:ptCount val="4"/>
                <c:pt idx="0">
                  <c:v>1.44</c:v>
                </c:pt>
                <c:pt idx="1">
                  <c:v>1.666666666666667</c:v>
                </c:pt>
                <c:pt idx="2">
                  <c:v>1.5235294117647058</c:v>
                </c:pt>
              </c:numCache>
            </c:numRef>
          </c:val>
          <c:extLst>
            <c:ext xmlns:c16="http://schemas.microsoft.com/office/drawing/2014/chart" uri="{C3380CC4-5D6E-409C-BE32-E72D297353CC}">
              <c16:uniqueId val="{00000002-4844-4B67-B662-63ABD7EDCD49}"/>
            </c:ext>
          </c:extLst>
        </c:ser>
        <c:dLbls>
          <c:dLblPos val="inEnd"/>
          <c:showLegendKey val="0"/>
          <c:showVal val="1"/>
          <c:showCatName val="0"/>
          <c:showSerName val="0"/>
          <c:showPercent val="0"/>
          <c:showBubbleSize val="0"/>
        </c:dLbls>
        <c:gapWidth val="65"/>
        <c:axId val="1724463615"/>
        <c:axId val="1724455455"/>
      </c:barChart>
      <c:catAx>
        <c:axId val="17244636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24455455"/>
        <c:crosses val="autoZero"/>
        <c:auto val="1"/>
        <c:lblAlgn val="ctr"/>
        <c:lblOffset val="100"/>
        <c:noMultiLvlLbl val="0"/>
      </c:catAx>
      <c:valAx>
        <c:axId val="17244554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244636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3.xlsx]4!PivotTable5</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'4'!$B$3</c:f>
              <c:strCache>
                <c:ptCount val="1"/>
                <c:pt idx="0">
                  <c:v>Average of BMI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'4'!$A$4:$A$8</c:f>
              <c:strCache>
                <c:ptCount val="4"/>
                <c:pt idx="0">
                  <c:v>Central</c:v>
                </c:pt>
                <c:pt idx="1">
                  <c:v>East</c:v>
                </c:pt>
                <c:pt idx="2">
                  <c:v>South</c:v>
                </c:pt>
                <c:pt idx="3">
                  <c:v>West</c:v>
                </c:pt>
              </c:strCache>
            </c:strRef>
          </c:cat>
          <c:val>
            <c:numRef>
              <c:f>'4'!$B$4:$B$8</c:f>
              <c:numCache>
                <c:formatCode>General</c:formatCode>
                <c:ptCount val="4"/>
                <c:pt idx="0">
                  <c:v>553.74045495424241</c:v>
                </c:pt>
                <c:pt idx="1">
                  <c:v>17.507908753358464</c:v>
                </c:pt>
                <c:pt idx="2">
                  <c:v>936.08593434060685</c:v>
                </c:pt>
                <c:pt idx="3">
                  <c:v>19.570875087215928</c:v>
                </c:pt>
              </c:numCache>
            </c:numRef>
          </c:val>
          <c:extLst>
            <c:ext xmlns:c16="http://schemas.microsoft.com/office/drawing/2014/chart" uri="{C3380CC4-5D6E-409C-BE32-E72D297353CC}">
              <c16:uniqueId val="{00000000-AF6F-4404-AC6E-BD21A90E614E}"/>
            </c:ext>
          </c:extLst>
        </c:ser>
        <c:ser>
          <c:idx val="1"/>
          <c:order val="1"/>
          <c:tx>
            <c:strRef>
              <c:f>'4'!$C$3</c:f>
              <c:strCache>
                <c:ptCount val="1"/>
                <c:pt idx="0">
                  <c:v>Average of Daily_Fruit_Servings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'4'!$A$4:$A$8</c:f>
              <c:strCache>
                <c:ptCount val="4"/>
                <c:pt idx="0">
                  <c:v>Central</c:v>
                </c:pt>
                <c:pt idx="1">
                  <c:v>East</c:v>
                </c:pt>
                <c:pt idx="2">
                  <c:v>South</c:v>
                </c:pt>
                <c:pt idx="3">
                  <c:v>West</c:v>
                </c:pt>
              </c:strCache>
            </c:strRef>
          </c:cat>
          <c:val>
            <c:numRef>
              <c:f>'4'!$C$4:$C$8</c:f>
              <c:numCache>
                <c:formatCode>General</c:formatCode>
                <c:ptCount val="4"/>
                <c:pt idx="0">
                  <c:v>4</c:v>
                </c:pt>
                <c:pt idx="1">
                  <c:v>4</c:v>
                </c:pt>
                <c:pt idx="2">
                  <c:v>4</c:v>
                </c:pt>
                <c:pt idx="3">
                  <c:v>4</c:v>
                </c:pt>
              </c:numCache>
            </c:numRef>
          </c:val>
          <c:extLst>
            <c:ext xmlns:c16="http://schemas.microsoft.com/office/drawing/2014/chart" uri="{C3380CC4-5D6E-409C-BE32-E72D297353CC}">
              <c16:uniqueId val="{00000002-AF6F-4404-AC6E-BD21A90E614E}"/>
            </c:ext>
          </c:extLst>
        </c:ser>
        <c:dLbls>
          <c:dLblPos val="outEnd"/>
          <c:showLegendKey val="0"/>
          <c:showVal val="1"/>
          <c:showCatName val="0"/>
          <c:showSerName val="0"/>
          <c:showPercent val="0"/>
          <c:showBubbleSize val="0"/>
        </c:dLbls>
        <c:gapWidth val="100"/>
        <c:overlap val="-24"/>
        <c:axId val="272339727"/>
        <c:axId val="272328207"/>
      </c:barChart>
      <c:catAx>
        <c:axId val="27233972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72328207"/>
        <c:crosses val="autoZero"/>
        <c:auto val="1"/>
        <c:lblAlgn val="ctr"/>
        <c:lblOffset val="100"/>
        <c:noMultiLvlLbl val="0"/>
      </c:catAx>
      <c:valAx>
        <c:axId val="2723282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7233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[Day 3.xlsx]4!PivotTable5</c:name>
    <c:fmtId val="14"/>
  </c:pivotSource>
  <c:chart>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68645872055692"/>
          <c:y val="0.13672877667151109"/>
          <c:w val="0.59606186565735075"/>
          <c:h val="0.64757886669125031"/>
        </c:manualLayout>
      </c:layout>
      <c:barChart>
        <c:barDir val="col"/>
        <c:grouping val="clustered"/>
        <c:varyColors val="0"/>
        <c:ser>
          <c:idx val="0"/>
          <c:order val="0"/>
          <c:tx>
            <c:strRef>
              <c:f>'4'!$B$3</c:f>
              <c:strCache>
                <c:ptCount val="1"/>
                <c:pt idx="0">
                  <c:v>Average of BMI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'4'!$A$4:$A$8</c:f>
              <c:strCache>
                <c:ptCount val="4"/>
                <c:pt idx="0">
                  <c:v>Central</c:v>
                </c:pt>
                <c:pt idx="1">
                  <c:v>East</c:v>
                </c:pt>
                <c:pt idx="2">
                  <c:v>South</c:v>
                </c:pt>
                <c:pt idx="3">
                  <c:v>West</c:v>
                </c:pt>
              </c:strCache>
            </c:strRef>
          </c:cat>
          <c:val>
            <c:numRef>
              <c:f>'4'!$B$4:$B$8</c:f>
              <c:numCache>
                <c:formatCode>General</c:formatCode>
                <c:ptCount val="4"/>
                <c:pt idx="0">
                  <c:v>553.74045495424241</c:v>
                </c:pt>
                <c:pt idx="1">
                  <c:v>17.507908753358464</c:v>
                </c:pt>
                <c:pt idx="2">
                  <c:v>936.08593434060685</c:v>
                </c:pt>
                <c:pt idx="3">
                  <c:v>19.570875087215928</c:v>
                </c:pt>
              </c:numCache>
            </c:numRef>
          </c:val>
          <c:extLst>
            <c:ext xmlns:c16="http://schemas.microsoft.com/office/drawing/2014/chart" uri="{C3380CC4-5D6E-409C-BE32-E72D297353CC}">
              <c16:uniqueId val="{00000000-BFB8-4426-9D64-1FE2CAFB0B6A}"/>
            </c:ext>
          </c:extLst>
        </c:ser>
        <c:ser>
          <c:idx val="1"/>
          <c:order val="1"/>
          <c:tx>
            <c:strRef>
              <c:f>'4'!$C$3</c:f>
              <c:strCache>
                <c:ptCount val="1"/>
                <c:pt idx="0">
                  <c:v>Average of Daily_Fruit_Servings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'4'!$A$4:$A$8</c:f>
              <c:strCache>
                <c:ptCount val="4"/>
                <c:pt idx="0">
                  <c:v>Central</c:v>
                </c:pt>
                <c:pt idx="1">
                  <c:v>East</c:v>
                </c:pt>
                <c:pt idx="2">
                  <c:v>South</c:v>
                </c:pt>
                <c:pt idx="3">
                  <c:v>West</c:v>
                </c:pt>
              </c:strCache>
            </c:strRef>
          </c:cat>
          <c:val>
            <c:numRef>
              <c:f>'4'!$C$4:$C$8</c:f>
              <c:numCache>
                <c:formatCode>General</c:formatCode>
                <c:ptCount val="4"/>
                <c:pt idx="0">
                  <c:v>4</c:v>
                </c:pt>
                <c:pt idx="1">
                  <c:v>4</c:v>
                </c:pt>
                <c:pt idx="2">
                  <c:v>4</c:v>
                </c:pt>
                <c:pt idx="3">
                  <c:v>4</c:v>
                </c:pt>
              </c:numCache>
            </c:numRef>
          </c:val>
          <c:extLst>
            <c:ext xmlns:c16="http://schemas.microsoft.com/office/drawing/2014/chart" uri="{C3380CC4-5D6E-409C-BE32-E72D297353CC}">
              <c16:uniqueId val="{00000001-BFB8-4426-9D64-1FE2CAFB0B6A}"/>
            </c:ext>
          </c:extLst>
        </c:ser>
        <c:dLbls>
          <c:dLblPos val="inEnd"/>
          <c:showLegendKey val="0"/>
          <c:showVal val="1"/>
          <c:showCatName val="0"/>
          <c:showSerName val="0"/>
          <c:showPercent val="0"/>
          <c:showBubbleSize val="0"/>
        </c:dLbls>
        <c:gapWidth val="100"/>
        <c:overlap val="-24"/>
        <c:axId val="272339727"/>
        <c:axId val="272328207"/>
      </c:barChart>
      <c:catAx>
        <c:axId val="2723397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328207"/>
        <c:crosses val="autoZero"/>
        <c:auto val="1"/>
        <c:lblAlgn val="ctr"/>
        <c:lblOffset val="100"/>
        <c:noMultiLvlLbl val="0"/>
      </c:catAx>
      <c:valAx>
        <c:axId val="272328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339727"/>
        <c:crosses val="autoZero"/>
        <c:crossBetween val="between"/>
      </c:valAx>
      <c:spPr>
        <a:noFill/>
        <a:ln>
          <a:noFill/>
        </a:ln>
        <a:effectLst/>
      </c:spPr>
    </c:plotArea>
    <c:legend>
      <c:legendPos val="r"/>
      <c:layout>
        <c:manualLayout>
          <c:xMode val="edge"/>
          <c:yMode val="edge"/>
          <c:x val="0.76090140020051145"/>
          <c:y val="2.702002125767337E-2"/>
          <c:w val="0.19975668277516809"/>
          <c:h val="0.344490358126721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[Day 3.xlsx]3!PivotTable4</c:name>
    <c:fmtId val="5"/>
  </c:pivotSource>
  <c:chart>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'3'!$B$3</c:f>
              <c:strCache>
                <c:ptCount val="1"/>
                <c:pt idx="0">
                  <c:v>Average of Daily_Sugar_Drinks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'3'!$A$4:$A$8</c:f>
              <c:strCache>
                <c:ptCount val="4"/>
                <c:pt idx="0">
                  <c:v>Healthy Weight</c:v>
                </c:pt>
                <c:pt idx="1">
                  <c:v>Obese</c:v>
                </c:pt>
                <c:pt idx="2">
                  <c:v>Underweight</c:v>
                </c:pt>
                <c:pt idx="3">
                  <c:v>(blank)</c:v>
                </c:pt>
              </c:strCache>
            </c:strRef>
          </c:cat>
          <c:val>
            <c:numRef>
              <c:f>'3'!$B$4:$B$8</c:f>
              <c:numCache>
                <c:formatCode>General</c:formatCode>
                <c:ptCount val="4"/>
                <c:pt idx="0">
                  <c:v>2</c:v>
                </c:pt>
                <c:pt idx="1">
                  <c:v>1.875</c:v>
                </c:pt>
                <c:pt idx="2">
                  <c:v>2.1764705882352939</c:v>
                </c:pt>
              </c:numCache>
            </c:numRef>
          </c:val>
          <c:extLst>
            <c:ext xmlns:c16="http://schemas.microsoft.com/office/drawing/2014/chart" uri="{C3380CC4-5D6E-409C-BE32-E72D297353CC}">
              <c16:uniqueId val="{00000000-EC58-4631-868E-88DDC4A00530}"/>
            </c:ext>
          </c:extLst>
        </c:ser>
        <c:ser>
          <c:idx val="1"/>
          <c:order val="1"/>
          <c:tx>
            <c:strRef>
              <c:f>'3'!$C$3</c:f>
              <c:strCache>
                <c:ptCount val="1"/>
                <c:pt idx="0">
                  <c:v>Average of ScreenTime_Hours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'3'!$A$4:$A$8</c:f>
              <c:strCache>
                <c:ptCount val="4"/>
                <c:pt idx="0">
                  <c:v>Healthy Weight</c:v>
                </c:pt>
                <c:pt idx="1">
                  <c:v>Obese</c:v>
                </c:pt>
                <c:pt idx="2">
                  <c:v>Underweight</c:v>
                </c:pt>
                <c:pt idx="3">
                  <c:v>(blank)</c:v>
                </c:pt>
              </c:strCache>
            </c:strRef>
          </c:cat>
          <c:val>
            <c:numRef>
              <c:f>'3'!$C$4:$C$8</c:f>
              <c:numCache>
                <c:formatCode>General</c:formatCode>
                <c:ptCount val="4"/>
                <c:pt idx="0">
                  <c:v>1.44</c:v>
                </c:pt>
                <c:pt idx="1">
                  <c:v>1.666666666666667</c:v>
                </c:pt>
                <c:pt idx="2">
                  <c:v>1.5235294117647058</c:v>
                </c:pt>
              </c:numCache>
            </c:numRef>
          </c:val>
          <c:extLst>
            <c:ext xmlns:c16="http://schemas.microsoft.com/office/drawing/2014/chart" uri="{C3380CC4-5D6E-409C-BE32-E72D297353CC}">
              <c16:uniqueId val="{00000001-EC58-4631-868E-88DDC4A00530}"/>
            </c:ext>
          </c:extLst>
        </c:ser>
        <c:dLbls>
          <c:dLblPos val="inEnd"/>
          <c:showLegendKey val="0"/>
          <c:showVal val="1"/>
          <c:showCatName val="0"/>
          <c:showSerName val="0"/>
          <c:showPercent val="0"/>
          <c:showBubbleSize val="0"/>
        </c:dLbls>
        <c:gapWidth val="100"/>
        <c:overlap val="-24"/>
        <c:axId val="1724463615"/>
        <c:axId val="1724455455"/>
      </c:barChart>
      <c:catAx>
        <c:axId val="17244636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455455"/>
        <c:crosses val="autoZero"/>
        <c:auto val="1"/>
        <c:lblAlgn val="ctr"/>
        <c:lblOffset val="100"/>
        <c:noMultiLvlLbl val="0"/>
      </c:catAx>
      <c:valAx>
        <c:axId val="172445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46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[Day 3.xlsx]2!PivotTable3</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'2'!$B$3:$B$4</c:f>
              <c:strCache>
                <c:ptCount val="1"/>
                <c:pt idx="0">
                  <c:v>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'2'!$A$5:$A$9</c:f>
              <c:strCache>
                <c:ptCount val="4"/>
                <c:pt idx="0">
                  <c:v>1</c:v>
                </c:pt>
                <c:pt idx="1">
                  <c:v>2</c:v>
                </c:pt>
                <c:pt idx="2">
                  <c:v>3</c:v>
                </c:pt>
                <c:pt idx="3">
                  <c:v>4</c:v>
                </c:pt>
              </c:strCache>
            </c:strRef>
          </c:cat>
          <c:val>
            <c:numRef>
              <c:f>'2'!$B$5:$B$9</c:f>
              <c:numCache>
                <c:formatCode>General</c:formatCode>
                <c:ptCount val="4"/>
                <c:pt idx="0">
                  <c:v>16.411348608910586</c:v>
                </c:pt>
                <c:pt idx="3">
                  <c:v>784.13634755984822</c:v>
                </c:pt>
              </c:numCache>
            </c:numRef>
          </c:val>
          <c:extLst>
            <c:ext xmlns:c16="http://schemas.microsoft.com/office/drawing/2014/chart" uri="{C3380CC4-5D6E-409C-BE32-E72D297353CC}">
              <c16:uniqueId val="{00000000-7DEE-4016-91B6-557D2EC95C76}"/>
            </c:ext>
          </c:extLst>
        </c:ser>
        <c:ser>
          <c:idx val="1"/>
          <c:order val="1"/>
          <c:tx>
            <c:strRef>
              <c:f>'2'!$C$3:$C$4</c:f>
              <c:strCache>
                <c:ptCount val="1"/>
                <c:pt idx="0">
                  <c:v>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'2'!$A$5:$A$9</c:f>
              <c:strCache>
                <c:ptCount val="4"/>
                <c:pt idx="0">
                  <c:v>1</c:v>
                </c:pt>
                <c:pt idx="1">
                  <c:v>2</c:v>
                </c:pt>
                <c:pt idx="2">
                  <c:v>3</c:v>
                </c:pt>
                <c:pt idx="3">
                  <c:v>4</c:v>
                </c:pt>
              </c:strCache>
            </c:strRef>
          </c:cat>
          <c:val>
            <c:numRef>
              <c:f>'2'!$C$5:$C$9</c:f>
              <c:numCache>
                <c:formatCode>General</c:formatCode>
                <c:ptCount val="4"/>
                <c:pt idx="1">
                  <c:v>619.6778155615483</c:v>
                </c:pt>
                <c:pt idx="2">
                  <c:v>1013.3506838670743</c:v>
                </c:pt>
                <c:pt idx="3">
                  <c:v>579.99307806809895</c:v>
                </c:pt>
              </c:numCache>
            </c:numRef>
          </c:val>
          <c:extLst>
            <c:ext xmlns:c16="http://schemas.microsoft.com/office/drawing/2014/chart" uri="{C3380CC4-5D6E-409C-BE32-E72D297353CC}">
              <c16:uniqueId val="{00000001-7DEE-4016-91B6-557D2EC95C76}"/>
            </c:ext>
          </c:extLst>
        </c:ser>
        <c:ser>
          <c:idx val="2"/>
          <c:order val="2"/>
          <c:tx>
            <c:strRef>
              <c:f>'2'!$D$3:$D$4</c:f>
              <c:strCache>
                <c:ptCount val="1"/>
                <c:pt idx="0">
                  <c:v>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'2'!$A$5:$A$9</c:f>
              <c:strCache>
                <c:ptCount val="4"/>
                <c:pt idx="0">
                  <c:v>1</c:v>
                </c:pt>
                <c:pt idx="1">
                  <c:v>2</c:v>
                </c:pt>
                <c:pt idx="2">
                  <c:v>3</c:v>
                </c:pt>
                <c:pt idx="3">
                  <c:v>4</c:v>
                </c:pt>
              </c:strCache>
            </c:strRef>
          </c:cat>
          <c:val>
            <c:numRef>
              <c:f>'2'!$D$5:$D$9</c:f>
              <c:numCache>
                <c:formatCode>General</c:formatCode>
                <c:ptCount val="4"/>
                <c:pt idx="0">
                  <c:v>17.059205462973896</c:v>
                </c:pt>
                <c:pt idx="2">
                  <c:v>19.185127564907393</c:v>
                </c:pt>
                <c:pt idx="3">
                  <c:v>14.190800401461026</c:v>
                </c:pt>
              </c:numCache>
            </c:numRef>
          </c:val>
          <c:extLst>
            <c:ext xmlns:c16="http://schemas.microsoft.com/office/drawing/2014/chart" uri="{C3380CC4-5D6E-409C-BE32-E72D297353CC}">
              <c16:uniqueId val="{00000002-7DEE-4016-91B6-557D2EC95C76}"/>
            </c:ext>
          </c:extLst>
        </c:ser>
        <c:ser>
          <c:idx val="3"/>
          <c:order val="3"/>
          <c:tx>
            <c:strRef>
              <c:f>'2'!$E$3:$E$4</c:f>
              <c:strCache>
                <c:ptCount val="1"/>
                <c:pt idx="0">
                  <c:v>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'2'!$A$5:$A$9</c:f>
              <c:strCache>
                <c:ptCount val="4"/>
                <c:pt idx="0">
                  <c:v>1</c:v>
                </c:pt>
                <c:pt idx="1">
                  <c:v>2</c:v>
                </c:pt>
                <c:pt idx="2">
                  <c:v>3</c:v>
                </c:pt>
                <c:pt idx="3">
                  <c:v>4</c:v>
                </c:pt>
              </c:strCache>
            </c:strRef>
          </c:cat>
          <c:val>
            <c:numRef>
              <c:f>'2'!$E$5:$E$9</c:f>
              <c:numCache>
                <c:formatCode>General</c:formatCode>
                <c:ptCount val="4"/>
                <c:pt idx="1">
                  <c:v>686.41975308641975</c:v>
                </c:pt>
                <c:pt idx="2">
                  <c:v>15.839176320537135</c:v>
                </c:pt>
              </c:numCache>
            </c:numRef>
          </c:val>
          <c:extLst>
            <c:ext xmlns:c16="http://schemas.microsoft.com/office/drawing/2014/chart" uri="{C3380CC4-5D6E-409C-BE32-E72D297353CC}">
              <c16:uniqueId val="{00000003-7DEE-4016-91B6-557D2EC95C76}"/>
            </c:ext>
          </c:extLst>
        </c:ser>
        <c:dLbls>
          <c:showLegendKey val="0"/>
          <c:showVal val="0"/>
          <c:showCatName val="0"/>
          <c:showSerName val="0"/>
          <c:showPercent val="0"/>
          <c:showBubbleSize val="0"/>
        </c:dLbls>
        <c:gapWidth val="100"/>
        <c:overlap val="-24"/>
        <c:axId val="1560778703"/>
        <c:axId val="1560782063"/>
      </c:barChart>
      <c:catAx>
        <c:axId val="15607787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60782063"/>
        <c:crosses val="autoZero"/>
        <c:auto val="1"/>
        <c:lblAlgn val="ctr"/>
        <c:lblOffset val="100"/>
        <c:noMultiLvlLbl val="0"/>
      </c:catAx>
      <c:valAx>
        <c:axId val="156078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60778703"/>
        <c:crosses val="autoZero"/>
        <c:crossBetween val="between"/>
      </c:valAx>
      <c:spPr>
        <a:noFill/>
        <a:ln>
          <a:noFill/>
        </a:ln>
        <a:effectLst>
          <a:glow rad="228600">
            <a:schemeClr val="accent1">
              <a:satMod val="175000"/>
              <a:alpha val="4000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a:softEdge rad="12700"/>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[Day 3.xlsx]1!PivotTable2</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'1'!$B$3</c:f>
              <c:strCache>
                <c:ptCount val="1"/>
                <c:pt idx="0">
                  <c:v>Average of Age_Months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'1'!$A$4:$A$6</c:f>
              <c:strCache>
                <c:ptCount val="2"/>
                <c:pt idx="0">
                  <c:v>Obese</c:v>
                </c:pt>
                <c:pt idx="1">
                  <c:v>Underweight</c:v>
                </c:pt>
              </c:strCache>
            </c:strRef>
          </c:cat>
          <c:val>
            <c:numRef>
              <c:f>'1'!$B$4:$B$6</c:f>
              <c:numCache>
                <c:formatCode>General</c:formatCode>
                <c:ptCount val="2"/>
                <c:pt idx="0">
                  <c:v>3</c:v>
                </c:pt>
                <c:pt idx="1">
                  <c:v>3</c:v>
                </c:pt>
              </c:numCache>
            </c:numRef>
          </c:val>
          <c:extLst>
            <c:ext xmlns:c16="http://schemas.microsoft.com/office/drawing/2014/chart" uri="{C3380CC4-5D6E-409C-BE32-E72D297353CC}">
              <c16:uniqueId val="{00000000-77AD-4C8C-83CF-E7DA54FB93A4}"/>
            </c:ext>
          </c:extLst>
        </c:ser>
        <c:ser>
          <c:idx val="1"/>
          <c:order val="1"/>
          <c:tx>
            <c:strRef>
              <c:f>'1'!$C$3</c:f>
              <c:strCache>
                <c:ptCount val="1"/>
                <c:pt idx="0">
                  <c:v>Count of ChildID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'1'!$A$4:$A$6</c:f>
              <c:strCache>
                <c:ptCount val="2"/>
                <c:pt idx="0">
                  <c:v>Obese</c:v>
                </c:pt>
                <c:pt idx="1">
                  <c:v>Underweight</c:v>
                </c:pt>
              </c:strCache>
            </c:strRef>
          </c:cat>
          <c:val>
            <c:numRef>
              <c:f>'1'!$C$4:$C$6</c:f>
              <c:numCache>
                <c:formatCode>General</c:formatCode>
                <c:ptCount val="2"/>
                <c:pt idx="0">
                  <c:v>1</c:v>
                </c:pt>
                <c:pt idx="1">
                  <c:v>2</c:v>
                </c:pt>
              </c:numCache>
            </c:numRef>
          </c:val>
          <c:extLst>
            <c:ext xmlns:c16="http://schemas.microsoft.com/office/drawing/2014/chart" uri="{C3380CC4-5D6E-409C-BE32-E72D297353CC}">
              <c16:uniqueId val="{00000001-77AD-4C8C-83CF-E7DA54FB93A4}"/>
            </c:ext>
          </c:extLst>
        </c:ser>
        <c:dLbls>
          <c:showLegendKey val="0"/>
          <c:showVal val="0"/>
          <c:showCatName val="0"/>
          <c:showSerName val="0"/>
          <c:showPercent val="0"/>
          <c:showBubbleSize val="0"/>
        </c:dLbls>
        <c:gapWidth val="100"/>
        <c:overlap val="-24"/>
        <c:axId val="1560768143"/>
        <c:axId val="1560771023"/>
      </c:barChart>
      <c:catAx>
        <c:axId val="15607681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71023"/>
        <c:crosses val="autoZero"/>
        <c:auto val="1"/>
        <c:lblAlgn val="ctr"/>
        <c:lblOffset val="100"/>
        <c:noMultiLvlLbl val="0"/>
      </c:catAx>
      <c:valAx>
        <c:axId val="1560771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6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Child_Health_Data!$K$1</c:f>
              <c:strCache>
                <c:ptCount val="1"/>
                <c:pt idx="0">
                  <c:v>BMI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Child_Health_Data!$K$2:$K$47</c:f>
              <c:numCache>
                <c:formatCode>General</c:formatCode>
                <c:ptCount val="46"/>
                <c:pt idx="0">
                  <c:v>835.06663436843382</c:v>
                </c:pt>
                <c:pt idx="1">
                  <c:v>19.185127564907393</c:v>
                </c:pt>
                <c:pt idx="2">
                  <c:v>1221.7031979877831</c:v>
                </c:pt>
                <c:pt idx="3">
                  <c:v>19.589420799631078</c:v>
                </c:pt>
                <c:pt idx="4">
                  <c:v>17.652433135313405</c:v>
                </c:pt>
                <c:pt idx="5">
                  <c:v>17.059205462973896</c:v>
                </c:pt>
                <c:pt idx="6">
                  <c:v>15.801108000799067</c:v>
                </c:pt>
                <c:pt idx="7">
                  <c:v>70.360341999786471</c:v>
                </c:pt>
                <c:pt idx="8">
                  <c:v>1336.0969387755106</c:v>
                </c:pt>
                <c:pt idx="9">
                  <c:v>17.610292772445963</c:v>
                </c:pt>
                <c:pt idx="10">
                  <c:v>1015.0008471373277</c:v>
                </c:pt>
                <c:pt idx="11">
                  <c:v>859.03535126696806</c:v>
                </c:pt>
                <c:pt idx="12">
                  <c:v>16.821669829165565</c:v>
                </c:pt>
                <c:pt idx="13">
                  <c:v>779.18598605820762</c:v>
                </c:pt>
                <c:pt idx="14">
                  <c:v>709.23734385272849</c:v>
                </c:pt>
                <c:pt idx="15">
                  <c:v>156.77891426596568</c:v>
                </c:pt>
                <c:pt idx="16">
                  <c:v>13.618099737124188</c:v>
                </c:pt>
                <c:pt idx="17">
                  <c:v>16.411348608910586</c:v>
                </c:pt>
                <c:pt idx="18">
                  <c:v>19.026574134418222</c:v>
                </c:pt>
                <c:pt idx="19">
                  <c:v>15.839176320537135</c:v>
                </c:pt>
                <c:pt idx="20">
                  <c:v>17.740865378038603</c:v>
                </c:pt>
                <c:pt idx="21">
                  <c:v>462.77238939954128</c:v>
                </c:pt>
                <c:pt idx="22">
                  <c:v>14.190800401461026</c:v>
                </c:pt>
                <c:pt idx="23">
                  <c:v>15.864875656303504</c:v>
                </c:pt>
                <c:pt idx="24">
                  <c:v>19.570875087215928</c:v>
                </c:pt>
                <c:pt idx="25">
                  <c:v>18.166443980296357</c:v>
                </c:pt>
                <c:pt idx="26">
                  <c:v>844.58839168337477</c:v>
                </c:pt>
                <c:pt idx="27">
                  <c:v>843.72247981410942</c:v>
                </c:pt>
                <c:pt idx="28">
                  <c:v>1778.9044816659123</c:v>
                </c:pt>
                <c:pt idx="29">
                  <c:v>686.41975308641975</c:v>
                </c:pt>
                <c:pt idx="30">
                  <c:v>1.9085619647749572</c:v>
                </c:pt>
                <c:pt idx="31">
                  <c:v>1019.8421084410096</c:v>
                </c:pt>
                <c:pt idx="32">
                  <c:v>588.91147470662872</c:v>
                </c:pt>
                <c:pt idx="33">
                  <c:v>19.280469436678437</c:v>
                </c:pt>
                <c:pt idx="34">
                  <c:v>1013.3506838670743</c:v>
                </c:pt>
                <c:pt idx="35">
                  <c:v>90.738813735691991</c:v>
                </c:pt>
                <c:pt idx="36">
                  <c:v>1711.377342706239</c:v>
                </c:pt>
                <c:pt idx="37">
                  <c:v>542.94076554393655</c:v>
                </c:pt>
                <c:pt idx="38">
                  <c:v>14.273984861929826</c:v>
                </c:pt>
                <c:pt idx="39">
                  <c:v>889.12245061322767</c:v>
                </c:pt>
                <c:pt idx="40">
                  <c:v>43924.178138640455</c:v>
                </c:pt>
                <c:pt idx="41">
                  <c:v>1135.3271412237766</c:v>
                </c:pt>
                <c:pt idx="42">
                  <c:v>14.983791760933824</c:v>
                </c:pt>
                <c:pt idx="43">
                  <c:v>101.00875557213132</c:v>
                </c:pt>
                <c:pt idx="44">
                  <c:v>17.754626189060644</c:v>
                </c:pt>
                <c:pt idx="45">
                  <c:v>16.500272071630885</c:v>
                </c:pt>
              </c:numCache>
            </c:numRef>
          </c:val>
          <c:smooth val="0"/>
          <c:extLst>
            <c:ext xmlns:c16="http://schemas.microsoft.com/office/drawing/2014/chart" uri="{C3380CC4-5D6E-409C-BE32-E72D297353CC}">
              <c16:uniqueId val="{00000000-34C9-4D03-8E8C-886B137129D4}"/>
            </c:ext>
          </c:extLst>
        </c:ser>
        <c:dLbls>
          <c:showLegendKey val="0"/>
          <c:showVal val="0"/>
          <c:showCatName val="0"/>
          <c:showSerName val="0"/>
          <c:showPercent val="0"/>
          <c:showBubbleSize val="0"/>
        </c:dLbls>
        <c:marker val="1"/>
        <c:smooth val="0"/>
        <c:axId val="791843711"/>
        <c:axId val="791851391"/>
      </c:lineChart>
      <c:catAx>
        <c:axId val="79184371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851391"/>
        <c:crosses val="autoZero"/>
        <c:auto val="1"/>
        <c:lblAlgn val="ctr"/>
        <c:lblOffset val="100"/>
        <c:noMultiLvlLbl val="0"/>
      </c:catAx>
      <c:valAx>
        <c:axId val="79185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84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chart" Target="../charts/chart9.xml"/><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160020</xdr:colOff>
      <xdr:row>1</xdr:row>
      <xdr:rowOff>30480</xdr:rowOff>
    </xdr:from>
    <xdr:to>
      <xdr:col>10</xdr:col>
      <xdr:colOff>464820</xdr:colOff>
      <xdr:row>16</xdr:row>
      <xdr:rowOff>30480</xdr:rowOff>
    </xdr:to>
    <xdr:graphicFrame macro="">
      <xdr:nvGraphicFramePr>
        <xdr:cNvPr id="2" name="Chart 1">
          <a:extLst>
            <a:ext uri="{FF2B5EF4-FFF2-40B4-BE49-F238E27FC236}">
              <a16:creationId xmlns:a16="http://schemas.microsoft.com/office/drawing/2014/main" id="{FD85A243-38AF-99B7-EA83-AD11269076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137160</xdr:colOff>
      <xdr:row>10</xdr:row>
      <xdr:rowOff>167640</xdr:rowOff>
    </xdr:from>
    <xdr:to>
      <xdr:col>1</xdr:col>
      <xdr:colOff>1104900</xdr:colOff>
      <xdr:row>24</xdr:row>
      <xdr:rowOff>74295</xdr:rowOff>
    </xdr:to>
    <mc:AlternateContent xmlns:mc="http://schemas.openxmlformats.org/markup-compatibility/2006">
      <mc:Choice xmlns:a14="http://schemas.microsoft.com/office/drawing/2010/main" Requires="a14">
        <xdr:graphicFrame macro="">
          <xdr:nvGraphicFramePr>
            <xdr:cNvPr id="3" name="Age_Months">
              <a:extLst>
                <a:ext uri="{FF2B5EF4-FFF2-40B4-BE49-F238E27FC236}">
                  <a16:creationId xmlns:a16="http://schemas.microsoft.com/office/drawing/2014/main" id="{4EC69EC4-5AD0-3ADC-D12E-904914915931}"/>
                </a:ext>
              </a:extLst>
            </xdr:cNvPr>
            <xdr:cNvGraphicFramePr/>
          </xdr:nvGraphicFramePr>
          <xdr:xfrm>
            <a:off x="0" y="0"/>
            <a:ext cx="0" cy="0"/>
          </xdr:xfrm>
          <a:graphic>
            <a:graphicData uri="http://schemas.microsoft.com/office/drawing/2010/slicer">
              <sle:slicer xmlns:sle="http://schemas.microsoft.com/office/drawing/2010/slicer" name="Age_Months"/>
            </a:graphicData>
          </a:graphic>
        </xdr:graphicFrame>
      </mc:Choice>
      <mc:Fallback>
        <xdr:sp macro="" textlink="">
          <xdr:nvSpPr>
            <xdr:cNvPr id="0" name=""/>
            <xdr:cNvSpPr>
              <a:spLocks noTextEdit="1"/>
            </xdr:cNvSpPr>
          </xdr:nvSpPr>
          <xdr:spPr>
            <a:xfrm>
              <a:off x="137160" y="1958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106680</xdr:colOff>
      <xdr:row>19</xdr:row>
      <xdr:rowOff>129541</xdr:rowOff>
    </xdr:from>
    <xdr:to>
      <xdr:col>6</xdr:col>
      <xdr:colOff>106680</xdr:colOff>
      <xdr:row>24</xdr:row>
      <xdr:rowOff>106681</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C5B220C7-2100-9723-0C9E-DA27A1C2B5C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474720" y="3566161"/>
              <a:ext cx="182880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129540</xdr:colOff>
      <xdr:row>10</xdr:row>
      <xdr:rowOff>68580</xdr:rowOff>
    </xdr:from>
    <xdr:to>
      <xdr:col>5</xdr:col>
      <xdr:colOff>198120</xdr:colOff>
      <xdr:row>25</xdr:row>
      <xdr:rowOff>68580</xdr:rowOff>
    </xdr:to>
    <xdr:graphicFrame macro="">
      <xdr:nvGraphicFramePr>
        <xdr:cNvPr id="2" name="Chart 1">
          <a:extLst>
            <a:ext uri="{FF2B5EF4-FFF2-40B4-BE49-F238E27FC236}">
              <a16:creationId xmlns:a16="http://schemas.microsoft.com/office/drawing/2014/main" id="{6614E84F-2C83-9A77-E35F-F1FDAA2BE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594360</xdr:colOff>
      <xdr:row>10</xdr:row>
      <xdr:rowOff>38100</xdr:rowOff>
    </xdr:from>
    <xdr:to>
      <xdr:col>8</xdr:col>
      <xdr:colOff>167640</xdr:colOff>
      <xdr:row>23</xdr:row>
      <xdr:rowOff>127635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238C1167-B90A-EA0A-2406-A1B166DD667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97780" y="1866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891540</xdr:colOff>
      <xdr:row>12</xdr:row>
      <xdr:rowOff>83820</xdr:rowOff>
    </xdr:from>
    <xdr:to>
      <xdr:col>4</xdr:col>
      <xdr:colOff>236220</xdr:colOff>
      <xdr:row>27</xdr:row>
      <xdr:rowOff>83820</xdr:rowOff>
    </xdr:to>
    <xdr:graphicFrame macro="">
      <xdr:nvGraphicFramePr>
        <xdr:cNvPr id="2" name="Chart 1">
          <a:extLst>
            <a:ext uri="{FF2B5EF4-FFF2-40B4-BE49-F238E27FC236}">
              <a16:creationId xmlns:a16="http://schemas.microsoft.com/office/drawing/2014/main" id="{5F207F96-AF47-BD76-A397-CC1E80B63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449580</xdr:colOff>
      <xdr:row>2</xdr:row>
      <xdr:rowOff>30481</xdr:rowOff>
    </xdr:from>
    <xdr:to>
      <xdr:col>6</xdr:col>
      <xdr:colOff>449580</xdr:colOff>
      <xdr:row>8</xdr:row>
      <xdr:rowOff>53341</xdr:rowOff>
    </xdr:to>
    <mc:AlternateContent xmlns:mc="http://schemas.openxmlformats.org/markup-compatibility/2006">
      <mc:Choice xmlns:a14="http://schemas.microsoft.com/office/drawing/2010/main" Requires="a14">
        <xdr:graphicFrame macro="">
          <xdr:nvGraphicFramePr>
            <xdr:cNvPr id="3" name="Daily_Sugar_Drinks">
              <a:extLst>
                <a:ext uri="{FF2B5EF4-FFF2-40B4-BE49-F238E27FC236}">
                  <a16:creationId xmlns:a16="http://schemas.microsoft.com/office/drawing/2014/main" id="{B10F5FB3-E5BC-04F0-F1FE-D7896EEE0F49}"/>
                </a:ext>
              </a:extLst>
            </xdr:cNvPr>
            <xdr:cNvGraphicFramePr/>
          </xdr:nvGraphicFramePr>
          <xdr:xfrm>
            <a:off x="0" y="0"/>
            <a:ext cx="0" cy="0"/>
          </xdr:xfrm>
          <a:graphic>
            <a:graphicData uri="http://schemas.microsoft.com/office/drawing/2010/slicer">
              <sle:slicer xmlns:sle="http://schemas.microsoft.com/office/drawing/2010/slicer" name="Daily_Sugar_Drinks"/>
            </a:graphicData>
          </a:graphic>
        </xdr:graphicFrame>
      </mc:Choice>
      <mc:Fallback>
        <xdr:sp macro="" textlink="">
          <xdr:nvSpPr>
            <xdr:cNvPr id="0" name=""/>
            <xdr:cNvSpPr>
              <a:spLocks noTextEdit="1"/>
            </xdr:cNvSpPr>
          </xdr:nvSpPr>
          <xdr:spPr>
            <a:xfrm>
              <a:off x="5067300" y="396241"/>
              <a:ext cx="1828800"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106680</xdr:colOff>
      <xdr:row>18</xdr:row>
      <xdr:rowOff>45721</xdr:rowOff>
    </xdr:from>
    <xdr:to>
      <xdr:col>8</xdr:col>
      <xdr:colOff>106680</xdr:colOff>
      <xdr:row>27</xdr:row>
      <xdr:rowOff>30481</xdr:rowOff>
    </xdr:to>
    <mc:AlternateContent xmlns:mc="http://schemas.openxmlformats.org/markup-compatibility/2006">
      <mc:Choice xmlns:a14="http://schemas.microsoft.com/office/drawing/2010/main" Requires="a14">
        <xdr:graphicFrame macro="">
          <xdr:nvGraphicFramePr>
            <xdr:cNvPr id="4" name="ScreenTime_Hours">
              <a:extLst>
                <a:ext uri="{FF2B5EF4-FFF2-40B4-BE49-F238E27FC236}">
                  <a16:creationId xmlns:a16="http://schemas.microsoft.com/office/drawing/2014/main" id="{086AB297-B6F5-FF9E-EE24-F5F116D578C8}"/>
                </a:ext>
              </a:extLst>
            </xdr:cNvPr>
            <xdr:cNvGraphicFramePr/>
          </xdr:nvGraphicFramePr>
          <xdr:xfrm>
            <a:off x="0" y="0"/>
            <a:ext cx="0" cy="0"/>
          </xdr:xfrm>
          <a:graphic>
            <a:graphicData uri="http://schemas.microsoft.com/office/drawing/2010/slicer">
              <sle:slicer xmlns:sle="http://schemas.microsoft.com/office/drawing/2010/slicer" name="ScreenTime_Hours"/>
            </a:graphicData>
          </a:graphic>
        </xdr:graphicFrame>
      </mc:Choice>
      <mc:Fallback>
        <xdr:sp macro="" textlink="">
          <xdr:nvSpPr>
            <xdr:cNvPr id="0" name=""/>
            <xdr:cNvSpPr>
              <a:spLocks noTextEdit="1"/>
            </xdr:cNvSpPr>
          </xdr:nvSpPr>
          <xdr:spPr>
            <a:xfrm>
              <a:off x="5943600" y="3337561"/>
              <a:ext cx="1828800" cy="1630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53340</xdr:colOff>
      <xdr:row>10</xdr:row>
      <xdr:rowOff>53341</xdr:rowOff>
    </xdr:from>
    <xdr:to>
      <xdr:col>8</xdr:col>
      <xdr:colOff>53340</xdr:colOff>
      <xdr:row>16</xdr:row>
      <xdr:rowOff>121921</xdr:rowOff>
    </xdr:to>
    <mc:AlternateContent xmlns:mc="http://schemas.openxmlformats.org/markup-compatibility/2006">
      <mc:Choice xmlns:a14="http://schemas.microsoft.com/office/drawing/2010/main" Requires="a14">
        <xdr:graphicFrame macro="">
          <xdr:nvGraphicFramePr>
            <xdr:cNvPr id="5" name="Health_Status">
              <a:extLst>
                <a:ext uri="{FF2B5EF4-FFF2-40B4-BE49-F238E27FC236}">
                  <a16:creationId xmlns:a16="http://schemas.microsoft.com/office/drawing/2014/main" id="{FB150808-A15C-6EF9-189E-4748CFEE5754}"/>
                </a:ext>
              </a:extLst>
            </xdr:cNvPr>
            <xdr:cNvGraphicFramePr/>
          </xdr:nvGraphicFramePr>
          <xdr:xfrm>
            <a:off x="0" y="0"/>
            <a:ext cx="0" cy="0"/>
          </xdr:xfrm>
          <a:graphic>
            <a:graphicData uri="http://schemas.microsoft.com/office/drawing/2010/slicer">
              <sle:slicer xmlns:sle="http://schemas.microsoft.com/office/drawing/2010/slicer" name="Health_Status"/>
            </a:graphicData>
          </a:graphic>
        </xdr:graphicFrame>
      </mc:Choice>
      <mc:Fallback>
        <xdr:sp macro="" textlink="">
          <xdr:nvSpPr>
            <xdr:cNvPr id="0" name=""/>
            <xdr:cNvSpPr>
              <a:spLocks noTextEdit="1"/>
            </xdr:cNvSpPr>
          </xdr:nvSpPr>
          <xdr:spPr>
            <a:xfrm>
              <a:off x="5890260" y="1882141"/>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175260</xdr:colOff>
      <xdr:row>11</xdr:row>
      <xdr:rowOff>60960</xdr:rowOff>
    </xdr:from>
    <xdr:to>
      <xdr:col>4</xdr:col>
      <xdr:colOff>396240</xdr:colOff>
      <xdr:row>28</xdr:row>
      <xdr:rowOff>0</xdr:rowOff>
    </xdr:to>
    <xdr:graphicFrame macro="">
      <xdr:nvGraphicFramePr>
        <xdr:cNvPr id="2" name="Chart 1">
          <a:extLst>
            <a:ext uri="{FF2B5EF4-FFF2-40B4-BE49-F238E27FC236}">
              <a16:creationId xmlns:a16="http://schemas.microsoft.com/office/drawing/2014/main" id="{F5A0D4A6-29A2-07F9-E358-5477501FD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487680</xdr:colOff>
      <xdr:row>9</xdr:row>
      <xdr:rowOff>91440</xdr:rowOff>
    </xdr:from>
    <xdr:to>
      <xdr:col>9</xdr:col>
      <xdr:colOff>487680</xdr:colOff>
      <xdr:row>22</xdr:row>
      <xdr:rowOff>180975</xdr:rowOff>
    </xdr:to>
    <mc:AlternateContent xmlns:mc="http://schemas.openxmlformats.org/markup-compatibility/2006" xmlns:a14="http://schemas.microsoft.com/office/drawing/2010/main">
      <mc:Choice Requires="a14">
        <xdr:graphicFrame macro="">
          <xdr:nvGraphicFramePr>
            <xdr:cNvPr id="3" name="Daily_Fruit_Servings">
              <a:extLst>
                <a:ext uri="{FF2B5EF4-FFF2-40B4-BE49-F238E27FC236}">
                  <a16:creationId xmlns:a16="http://schemas.microsoft.com/office/drawing/2014/main" id="{0207E3D5-0711-9912-5D27-1D1E38421740}"/>
                </a:ext>
              </a:extLst>
            </xdr:cNvPr>
            <xdr:cNvGraphicFramePr/>
          </xdr:nvGraphicFramePr>
          <xdr:xfrm>
            <a:off x="0" y="0"/>
            <a:ext cx="0" cy="0"/>
          </xdr:xfrm>
          <a:graphic>
            <a:graphicData uri="http://schemas.microsoft.com/office/drawing/2010/slicer">
              <sle:slicer xmlns:sle="http://schemas.microsoft.com/office/drawing/2010/slicer" name="Daily_Fruit_Servings"/>
            </a:graphicData>
          </a:graphic>
        </xdr:graphicFrame>
      </mc:Choice>
      <mc:Fallback xmlns="">
        <xdr:sp macro="" textlink="">
          <xdr:nvSpPr>
            <xdr:cNvPr id="0" name=""/>
            <xdr:cNvSpPr>
              <a:spLocks noTextEdit="1"/>
            </xdr:cNvSpPr>
          </xdr:nvSpPr>
          <xdr:spPr>
            <a:xfrm>
              <a:off x="6057900" y="1737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342900</xdr:colOff>
      <xdr:row>3</xdr:row>
      <xdr:rowOff>175260</xdr:rowOff>
    </xdr:from>
    <xdr:to>
      <xdr:col>17</xdr:col>
      <xdr:colOff>38100</xdr:colOff>
      <xdr:row>23</xdr:row>
      <xdr:rowOff>22860</xdr:rowOff>
    </xdr:to>
    <xdr:sp macro="" textlink="">
      <xdr:nvSpPr>
        <xdr:cNvPr id="2" name="Rectangle: Rounded Corners 1">
          <a:extLst>
            <a:ext uri="{FF2B5EF4-FFF2-40B4-BE49-F238E27FC236}">
              <a16:creationId xmlns:a16="http://schemas.microsoft.com/office/drawing/2014/main" id="{1134754E-D46B-B0C5-5C2C-2D70F9975A72}"/>
            </a:ext>
          </a:extLst>
        </xdr:cNvPr>
        <xdr:cNvSpPr/>
      </xdr:nvSpPr>
      <xdr:spPr>
        <a:xfrm>
          <a:off x="952500" y="723900"/>
          <a:ext cx="9448800" cy="3505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bg1"/>
              </a:solidFill>
            </a:rPr>
            <a:t>SUMMARY:</a:t>
          </a:r>
        </a:p>
        <a:p>
          <a:pPr algn="l"/>
          <a:endParaRPr lang="en-IN" sz="2000"/>
        </a:p>
        <a:p>
          <a:pPr algn="l"/>
          <a:r>
            <a:rPr lang="en-IN" sz="2000"/>
            <a:t>The analysis reveals a strong relationship between children's dietary habits and their overall health. Higher consumption of fruits and vegetables is associated with a healthier BMI, while increased intake of sugary drinks and longer screen time are linked to overweight and obesity categories. Regional differences indicate that some areas have lower nutritional intake and higher BMI levels.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190500</xdr:colOff>
      <xdr:row>0</xdr:row>
      <xdr:rowOff>160020</xdr:rowOff>
    </xdr:from>
    <xdr:to>
      <xdr:col>23</xdr:col>
      <xdr:colOff>571500</xdr:colOff>
      <xdr:row>34</xdr:row>
      <xdr:rowOff>121920</xdr:rowOff>
    </xdr:to>
    <xdr:sp macro="" textlink="">
      <xdr:nvSpPr>
        <xdr:cNvPr id="2" name="Rectangle: Rounded Corners 1">
          <a:extLst>
            <a:ext uri="{FF2B5EF4-FFF2-40B4-BE49-F238E27FC236}">
              <a16:creationId xmlns:a16="http://schemas.microsoft.com/office/drawing/2014/main" id="{477C62FA-DCBA-C2DA-A422-ACF59328E96A}"/>
            </a:ext>
          </a:extLst>
        </xdr:cNvPr>
        <xdr:cNvSpPr/>
      </xdr:nvSpPr>
      <xdr:spPr>
        <a:xfrm>
          <a:off x="800100" y="160020"/>
          <a:ext cx="13792200" cy="6179820"/>
        </a:xfrm>
        <a:prstGeom prst="roundRect">
          <a:avLst>
            <a:gd name="adj" fmla="val 4102"/>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304800</xdr:colOff>
      <xdr:row>1</xdr:row>
      <xdr:rowOff>91440</xdr:rowOff>
    </xdr:from>
    <xdr:to>
      <xdr:col>23</xdr:col>
      <xdr:colOff>480060</xdr:colOff>
      <xdr:row>5</xdr:row>
      <xdr:rowOff>0</xdr:rowOff>
    </xdr:to>
    <xdr:sp macro="" textlink="">
      <xdr:nvSpPr>
        <xdr:cNvPr id="3" name="Rectangle: Rounded Corners 2">
          <a:extLst>
            <a:ext uri="{FF2B5EF4-FFF2-40B4-BE49-F238E27FC236}">
              <a16:creationId xmlns:a16="http://schemas.microsoft.com/office/drawing/2014/main" id="{2B924BEF-D565-F79C-7772-485144AC9E0A}"/>
            </a:ext>
          </a:extLst>
        </xdr:cNvPr>
        <xdr:cNvSpPr/>
      </xdr:nvSpPr>
      <xdr:spPr>
        <a:xfrm>
          <a:off x="914400" y="274320"/>
          <a:ext cx="13586460" cy="6400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t>DASHBOARD</a:t>
          </a:r>
        </a:p>
      </xdr:txBody>
    </xdr:sp>
    <xdr:clientData/>
  </xdr:twoCellAnchor>
  <xdr:twoCellAnchor>
    <xdr:from>
      <xdr:col>12</xdr:col>
      <xdr:colOff>22860</xdr:colOff>
      <xdr:row>19</xdr:row>
      <xdr:rowOff>0</xdr:rowOff>
    </xdr:from>
    <xdr:to>
      <xdr:col>17</xdr:col>
      <xdr:colOff>525780</xdr:colOff>
      <xdr:row>34</xdr:row>
      <xdr:rowOff>22860</xdr:rowOff>
    </xdr:to>
    <xdr:graphicFrame macro="">
      <xdr:nvGraphicFramePr>
        <xdr:cNvPr id="5" name="Chart 4">
          <a:extLst>
            <a:ext uri="{FF2B5EF4-FFF2-40B4-BE49-F238E27FC236}">
              <a16:creationId xmlns:a16="http://schemas.microsoft.com/office/drawing/2014/main" id="{7B39768D-FCD3-474A-9126-F51A6C77D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38100</xdr:colOff>
      <xdr:row>19</xdr:row>
      <xdr:rowOff>0</xdr:rowOff>
    </xdr:from>
    <xdr:to>
      <xdr:col>23</xdr:col>
      <xdr:colOff>472440</xdr:colOff>
      <xdr:row>34</xdr:row>
      <xdr:rowOff>0</xdr:rowOff>
    </xdr:to>
    <xdr:graphicFrame macro="">
      <xdr:nvGraphicFramePr>
        <xdr:cNvPr id="6" name="Chart 5">
          <a:extLst>
            <a:ext uri="{FF2B5EF4-FFF2-40B4-BE49-F238E27FC236}">
              <a16:creationId xmlns:a16="http://schemas.microsoft.com/office/drawing/2014/main" id="{B7D66511-002E-4200-8EE5-E05E19CBF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213360</xdr:colOff>
      <xdr:row>10</xdr:row>
      <xdr:rowOff>121920</xdr:rowOff>
    </xdr:from>
    <xdr:to>
      <xdr:col>9</xdr:col>
      <xdr:colOff>83820</xdr:colOff>
      <xdr:row>14</xdr:row>
      <xdr:rowOff>83820</xdr:rowOff>
    </xdr:to>
    <xdr:sp macro="" textlink="">
      <xdr:nvSpPr>
        <xdr:cNvPr id="7" name="Rectangle: Rounded Corners 6">
          <a:extLst>
            <a:ext uri="{FF2B5EF4-FFF2-40B4-BE49-F238E27FC236}">
              <a16:creationId xmlns:a16="http://schemas.microsoft.com/office/drawing/2014/main" id="{1D0A8075-7BD4-4474-9C49-2FB627149DBF}"/>
            </a:ext>
          </a:extLst>
        </xdr:cNvPr>
        <xdr:cNvSpPr/>
      </xdr:nvSpPr>
      <xdr:spPr>
        <a:xfrm>
          <a:off x="3870960" y="1950720"/>
          <a:ext cx="1699260" cy="69342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Male :</a:t>
          </a:r>
        </a:p>
      </xdr:txBody>
    </xdr:sp>
    <xdr:clientData/>
  </xdr:twoCellAnchor>
  <xdr:twoCellAnchor>
    <xdr:from>
      <xdr:col>6</xdr:col>
      <xdr:colOff>198120</xdr:colOff>
      <xdr:row>5</xdr:row>
      <xdr:rowOff>152400</xdr:rowOff>
    </xdr:from>
    <xdr:to>
      <xdr:col>9</xdr:col>
      <xdr:colOff>91440</xdr:colOff>
      <xdr:row>10</xdr:row>
      <xdr:rowOff>53340</xdr:rowOff>
    </xdr:to>
    <xdr:sp macro="" textlink="">
      <xdr:nvSpPr>
        <xdr:cNvPr id="8" name="Rectangle: Rounded Corners 7">
          <a:extLst>
            <a:ext uri="{FF2B5EF4-FFF2-40B4-BE49-F238E27FC236}">
              <a16:creationId xmlns:a16="http://schemas.microsoft.com/office/drawing/2014/main" id="{ED8481C4-E1A1-4764-B26D-5DA2E260D0C5}"/>
            </a:ext>
          </a:extLst>
        </xdr:cNvPr>
        <xdr:cNvSpPr/>
      </xdr:nvSpPr>
      <xdr:spPr>
        <a:xfrm>
          <a:off x="3855720" y="1066800"/>
          <a:ext cx="1722120" cy="81534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Total Child :</a:t>
          </a:r>
        </a:p>
      </xdr:txBody>
    </xdr:sp>
    <xdr:clientData/>
  </xdr:twoCellAnchor>
  <xdr:twoCellAnchor>
    <xdr:from>
      <xdr:col>6</xdr:col>
      <xdr:colOff>167640</xdr:colOff>
      <xdr:row>19</xdr:row>
      <xdr:rowOff>0</xdr:rowOff>
    </xdr:from>
    <xdr:to>
      <xdr:col>11</xdr:col>
      <xdr:colOff>563880</xdr:colOff>
      <xdr:row>34</xdr:row>
      <xdr:rowOff>53340</xdr:rowOff>
    </xdr:to>
    <xdr:graphicFrame macro="">
      <xdr:nvGraphicFramePr>
        <xdr:cNvPr id="9" name="Chart 8">
          <a:extLst>
            <a:ext uri="{FF2B5EF4-FFF2-40B4-BE49-F238E27FC236}">
              <a16:creationId xmlns:a16="http://schemas.microsoft.com/office/drawing/2014/main" id="{B01FD685-553A-45E5-8F2B-F7FFF22C7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266700</xdr:colOff>
      <xdr:row>5</xdr:row>
      <xdr:rowOff>137160</xdr:rowOff>
    </xdr:from>
    <xdr:to>
      <xdr:col>6</xdr:col>
      <xdr:colOff>99060</xdr:colOff>
      <xdr:row>34</xdr:row>
      <xdr:rowOff>60960</xdr:rowOff>
    </xdr:to>
    <xdr:sp macro="" textlink="">
      <xdr:nvSpPr>
        <xdr:cNvPr id="12" name="Rectangle: Rounded Corners 11">
          <a:extLst>
            <a:ext uri="{FF2B5EF4-FFF2-40B4-BE49-F238E27FC236}">
              <a16:creationId xmlns:a16="http://schemas.microsoft.com/office/drawing/2014/main" id="{5D545279-422F-43BB-B7BD-CB66BD9DCD5A}"/>
            </a:ext>
          </a:extLst>
        </xdr:cNvPr>
        <xdr:cNvSpPr/>
      </xdr:nvSpPr>
      <xdr:spPr>
        <a:xfrm>
          <a:off x="876300" y="1051560"/>
          <a:ext cx="2880360" cy="5227320"/>
        </a:xfrm>
        <a:prstGeom prst="roundRect">
          <a:avLst>
            <a:gd name="adj" fmla="val 9145"/>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342900</xdr:colOff>
      <xdr:row>13</xdr:row>
      <xdr:rowOff>114300</xdr:rowOff>
    </xdr:from>
    <xdr:to>
      <xdr:col>6</xdr:col>
      <xdr:colOff>0</xdr:colOff>
      <xdr:row>18</xdr:row>
      <xdr:rowOff>114300</xdr:rowOff>
    </xdr:to>
    <mc:AlternateContent xmlns:mc="http://schemas.openxmlformats.org/markup-compatibility/2006" xmlns:a14="http://schemas.microsoft.com/office/drawing/2010/main">
      <mc:Choice Requires="a14">
        <xdr:graphicFrame macro="">
          <xdr:nvGraphicFramePr>
            <xdr:cNvPr id="13" name="Daily_Fruit_Servings 2">
              <a:extLst>
                <a:ext uri="{FF2B5EF4-FFF2-40B4-BE49-F238E27FC236}">
                  <a16:creationId xmlns:a16="http://schemas.microsoft.com/office/drawing/2014/main" id="{0AC03EDA-4A97-49FD-95C7-E6B98D59DBFC}"/>
                </a:ext>
              </a:extLst>
            </xdr:cNvPr>
            <xdr:cNvGraphicFramePr/>
          </xdr:nvGraphicFramePr>
          <xdr:xfrm>
            <a:off x="0" y="0"/>
            <a:ext cx="0" cy="0"/>
          </xdr:xfrm>
          <a:graphic>
            <a:graphicData uri="http://schemas.microsoft.com/office/drawing/2010/slicer">
              <sle:slicer xmlns:sle="http://schemas.microsoft.com/office/drawing/2010/slicer" name="Daily_Fruit_Servings 2"/>
            </a:graphicData>
          </a:graphic>
        </xdr:graphicFrame>
      </mc:Choice>
      <mc:Fallback xmlns="">
        <xdr:sp macro="" textlink="">
          <xdr:nvSpPr>
            <xdr:cNvPr id="0" name=""/>
            <xdr:cNvSpPr>
              <a:spLocks noTextEdit="1"/>
            </xdr:cNvSpPr>
          </xdr:nvSpPr>
          <xdr:spPr>
            <a:xfrm>
              <a:off x="2171700" y="2491740"/>
              <a:ext cx="14859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342900</xdr:colOff>
      <xdr:row>6</xdr:row>
      <xdr:rowOff>60960</xdr:rowOff>
    </xdr:from>
    <xdr:to>
      <xdr:col>3</xdr:col>
      <xdr:colOff>320040</xdr:colOff>
      <xdr:row>13</xdr:row>
      <xdr:rowOff>76200</xdr:rowOff>
    </xdr:to>
    <mc:AlternateContent xmlns:mc="http://schemas.openxmlformats.org/markup-compatibility/2006" xmlns:a14="http://schemas.microsoft.com/office/drawing/2010/main">
      <mc:Choice Requires="a14">
        <xdr:graphicFrame macro="">
          <xdr:nvGraphicFramePr>
            <xdr:cNvPr id="14" name="Region 2">
              <a:extLst>
                <a:ext uri="{FF2B5EF4-FFF2-40B4-BE49-F238E27FC236}">
                  <a16:creationId xmlns:a16="http://schemas.microsoft.com/office/drawing/2014/main" id="{6EFA6762-EA3B-4298-A365-2AD4F087BEA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52500" y="1158240"/>
              <a:ext cx="119634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259080</xdr:colOff>
      <xdr:row>18</xdr:row>
      <xdr:rowOff>175260</xdr:rowOff>
    </xdr:from>
    <xdr:to>
      <xdr:col>5</xdr:col>
      <xdr:colOff>594360</xdr:colOff>
      <xdr:row>24</xdr:row>
      <xdr:rowOff>137160</xdr:rowOff>
    </xdr:to>
    <mc:AlternateContent xmlns:mc="http://schemas.openxmlformats.org/markup-compatibility/2006" xmlns:a14="http://schemas.microsoft.com/office/drawing/2010/main">
      <mc:Choice Requires="a14">
        <xdr:graphicFrame macro="">
          <xdr:nvGraphicFramePr>
            <xdr:cNvPr id="15" name="Daily_Sugar_Drinks 1">
              <a:extLst>
                <a:ext uri="{FF2B5EF4-FFF2-40B4-BE49-F238E27FC236}">
                  <a16:creationId xmlns:a16="http://schemas.microsoft.com/office/drawing/2014/main" id="{A10B5B2C-526E-4EDB-AD1E-93BC69A67F8E}"/>
                </a:ext>
              </a:extLst>
            </xdr:cNvPr>
            <xdr:cNvGraphicFramePr/>
          </xdr:nvGraphicFramePr>
          <xdr:xfrm>
            <a:off x="0" y="0"/>
            <a:ext cx="0" cy="0"/>
          </xdr:xfrm>
          <a:graphic>
            <a:graphicData uri="http://schemas.microsoft.com/office/drawing/2010/slicer">
              <sle:slicer xmlns:sle="http://schemas.microsoft.com/office/drawing/2010/slicer" name="Daily_Sugar_Drinks 1"/>
            </a:graphicData>
          </a:graphic>
        </xdr:graphicFrame>
      </mc:Choice>
      <mc:Fallback xmlns="">
        <xdr:sp macro="" textlink="">
          <xdr:nvSpPr>
            <xdr:cNvPr id="0" name=""/>
            <xdr:cNvSpPr>
              <a:spLocks noTextEdit="1"/>
            </xdr:cNvSpPr>
          </xdr:nvSpPr>
          <xdr:spPr>
            <a:xfrm>
              <a:off x="2087880" y="3467100"/>
              <a:ext cx="1554480" cy="105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266700</xdr:colOff>
      <xdr:row>24</xdr:row>
      <xdr:rowOff>160020</xdr:rowOff>
    </xdr:from>
    <xdr:to>
      <xdr:col>5</xdr:col>
      <xdr:colOff>601980</xdr:colOff>
      <xdr:row>33</xdr:row>
      <xdr:rowOff>144780</xdr:rowOff>
    </xdr:to>
    <mc:AlternateContent xmlns:mc="http://schemas.openxmlformats.org/markup-compatibility/2006" xmlns:a14="http://schemas.microsoft.com/office/drawing/2010/main">
      <mc:Choice Requires="a14">
        <xdr:graphicFrame macro="">
          <xdr:nvGraphicFramePr>
            <xdr:cNvPr id="16" name="ScreenTime_Hours 1">
              <a:extLst>
                <a:ext uri="{FF2B5EF4-FFF2-40B4-BE49-F238E27FC236}">
                  <a16:creationId xmlns:a16="http://schemas.microsoft.com/office/drawing/2014/main" id="{DD2EE1CA-CE03-44C7-B5D0-9F8525053600}"/>
                </a:ext>
              </a:extLst>
            </xdr:cNvPr>
            <xdr:cNvGraphicFramePr/>
          </xdr:nvGraphicFramePr>
          <xdr:xfrm>
            <a:off x="0" y="0"/>
            <a:ext cx="0" cy="0"/>
          </xdr:xfrm>
          <a:graphic>
            <a:graphicData uri="http://schemas.microsoft.com/office/drawing/2010/slicer">
              <sle:slicer xmlns:sle="http://schemas.microsoft.com/office/drawing/2010/slicer" name="ScreenTime_Hours 1"/>
            </a:graphicData>
          </a:graphic>
        </xdr:graphicFrame>
      </mc:Choice>
      <mc:Fallback xmlns="">
        <xdr:sp macro="" textlink="">
          <xdr:nvSpPr>
            <xdr:cNvPr id="0" name=""/>
            <xdr:cNvSpPr>
              <a:spLocks noTextEdit="1"/>
            </xdr:cNvSpPr>
          </xdr:nvSpPr>
          <xdr:spPr>
            <a:xfrm>
              <a:off x="2095500" y="4549140"/>
              <a:ext cx="1554480" cy="1630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335280</xdr:colOff>
      <xdr:row>6</xdr:row>
      <xdr:rowOff>60960</xdr:rowOff>
    </xdr:from>
    <xdr:to>
      <xdr:col>5</xdr:col>
      <xdr:colOff>601980</xdr:colOff>
      <xdr:row>13</xdr:row>
      <xdr:rowOff>76200</xdr:rowOff>
    </xdr:to>
    <mc:AlternateContent xmlns:mc="http://schemas.openxmlformats.org/markup-compatibility/2006" xmlns:a14="http://schemas.microsoft.com/office/drawing/2010/main">
      <mc:Choice Requires="a14">
        <xdr:graphicFrame macro="">
          <xdr:nvGraphicFramePr>
            <xdr:cNvPr id="17" name="Health_Status 1">
              <a:extLst>
                <a:ext uri="{FF2B5EF4-FFF2-40B4-BE49-F238E27FC236}">
                  <a16:creationId xmlns:a16="http://schemas.microsoft.com/office/drawing/2014/main" id="{873F6F37-FD29-4910-BCA9-8C78E0058E41}"/>
                </a:ext>
              </a:extLst>
            </xdr:cNvPr>
            <xdr:cNvGraphicFramePr/>
          </xdr:nvGraphicFramePr>
          <xdr:xfrm>
            <a:off x="0" y="0"/>
            <a:ext cx="0" cy="0"/>
          </xdr:xfrm>
          <a:graphic>
            <a:graphicData uri="http://schemas.microsoft.com/office/drawing/2010/slicer">
              <sle:slicer xmlns:sle="http://schemas.microsoft.com/office/drawing/2010/slicer" name="Health_Status 1"/>
            </a:graphicData>
          </a:graphic>
        </xdr:graphicFrame>
      </mc:Choice>
      <mc:Fallback xmlns="">
        <xdr:sp macro="" textlink="">
          <xdr:nvSpPr>
            <xdr:cNvPr id="0" name=""/>
            <xdr:cNvSpPr>
              <a:spLocks noTextEdit="1"/>
            </xdr:cNvSpPr>
          </xdr:nvSpPr>
          <xdr:spPr>
            <a:xfrm>
              <a:off x="2164080" y="1158240"/>
              <a:ext cx="14859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38100</xdr:colOff>
      <xdr:row>5</xdr:row>
      <xdr:rowOff>106680</xdr:rowOff>
    </xdr:from>
    <xdr:to>
      <xdr:col>23</xdr:col>
      <xdr:colOff>480060</xdr:colOff>
      <xdr:row>18</xdr:row>
      <xdr:rowOff>152400</xdr:rowOff>
    </xdr:to>
    <xdr:graphicFrame macro="">
      <xdr:nvGraphicFramePr>
        <xdr:cNvPr id="18" name="Chart 17">
          <a:extLst>
            <a:ext uri="{FF2B5EF4-FFF2-40B4-BE49-F238E27FC236}">
              <a16:creationId xmlns:a16="http://schemas.microsoft.com/office/drawing/2014/main" id="{58207BB9-BAB1-4F20-94C4-3F23FEB56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365760</xdr:colOff>
      <xdr:row>18</xdr:row>
      <xdr:rowOff>175261</xdr:rowOff>
    </xdr:from>
    <xdr:to>
      <xdr:col>3</xdr:col>
      <xdr:colOff>220980</xdr:colOff>
      <xdr:row>33</xdr:row>
      <xdr:rowOff>129540</xdr:rowOff>
    </xdr:to>
    <mc:AlternateContent xmlns:mc="http://schemas.openxmlformats.org/markup-compatibility/2006" xmlns:a14="http://schemas.microsoft.com/office/drawing/2010/main">
      <mc:Choice Requires="a14">
        <xdr:graphicFrame macro="">
          <xdr:nvGraphicFramePr>
            <xdr:cNvPr id="19" name="Age_Months 1">
              <a:extLst>
                <a:ext uri="{FF2B5EF4-FFF2-40B4-BE49-F238E27FC236}">
                  <a16:creationId xmlns:a16="http://schemas.microsoft.com/office/drawing/2014/main" id="{33BD7353-E7D4-415F-87C7-27987AA61A86}"/>
                </a:ext>
              </a:extLst>
            </xdr:cNvPr>
            <xdr:cNvGraphicFramePr/>
          </xdr:nvGraphicFramePr>
          <xdr:xfrm>
            <a:off x="0" y="0"/>
            <a:ext cx="0" cy="0"/>
          </xdr:xfrm>
          <a:graphic>
            <a:graphicData uri="http://schemas.microsoft.com/office/drawing/2010/slicer">
              <sle:slicer xmlns:sle="http://schemas.microsoft.com/office/drawing/2010/slicer" name="Age_Months 1"/>
            </a:graphicData>
          </a:graphic>
        </xdr:graphicFrame>
      </mc:Choice>
      <mc:Fallback xmlns="">
        <xdr:sp macro="" textlink="">
          <xdr:nvSpPr>
            <xdr:cNvPr id="0" name=""/>
            <xdr:cNvSpPr>
              <a:spLocks noTextEdit="1"/>
            </xdr:cNvSpPr>
          </xdr:nvSpPr>
          <xdr:spPr>
            <a:xfrm>
              <a:off x="975360" y="3467101"/>
              <a:ext cx="1074420" cy="2697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342900</xdr:colOff>
      <xdr:row>13</xdr:row>
      <xdr:rowOff>121921</xdr:rowOff>
    </xdr:from>
    <xdr:to>
      <xdr:col>3</xdr:col>
      <xdr:colOff>312420</xdr:colOff>
      <xdr:row>18</xdr:row>
      <xdr:rowOff>99061</xdr:rowOff>
    </xdr:to>
    <mc:AlternateContent xmlns:mc="http://schemas.openxmlformats.org/markup-compatibility/2006" xmlns:a14="http://schemas.microsoft.com/office/drawing/2010/main">
      <mc:Choice Requires="a14">
        <xdr:graphicFrame macro="">
          <xdr:nvGraphicFramePr>
            <xdr:cNvPr id="20" name="Gender 1">
              <a:extLst>
                <a:ext uri="{FF2B5EF4-FFF2-40B4-BE49-F238E27FC236}">
                  <a16:creationId xmlns:a16="http://schemas.microsoft.com/office/drawing/2014/main" id="{F32094DD-F7C1-48B7-9CE8-27136FA8B5E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52500" y="2499361"/>
              <a:ext cx="118872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60960</xdr:colOff>
      <xdr:row>7</xdr:row>
      <xdr:rowOff>15240</xdr:rowOff>
    </xdr:from>
    <xdr:to>
      <xdr:col>9</xdr:col>
      <xdr:colOff>22860</xdr:colOff>
      <xdr:row>9</xdr:row>
      <xdr:rowOff>167640</xdr:rowOff>
    </xdr:to>
    <xdr:sp macro="" textlink="">
      <xdr:nvSpPr>
        <xdr:cNvPr id="21" name="Rectangle: Rounded Corners 20">
          <a:extLst>
            <a:ext uri="{FF2B5EF4-FFF2-40B4-BE49-F238E27FC236}">
              <a16:creationId xmlns:a16="http://schemas.microsoft.com/office/drawing/2014/main" id="{D27E0B4C-4507-4922-89EF-BFAEA33DEDC0}"/>
            </a:ext>
          </a:extLst>
        </xdr:cNvPr>
        <xdr:cNvSpPr/>
      </xdr:nvSpPr>
      <xdr:spPr>
        <a:xfrm>
          <a:off x="4937760" y="1295400"/>
          <a:ext cx="571500" cy="51816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47</a:t>
          </a:r>
        </a:p>
      </xdr:txBody>
    </xdr:sp>
    <xdr:clientData/>
  </xdr:twoCellAnchor>
  <xdr:twoCellAnchor editAs="oneCell">
    <xdr:from>
      <xdr:col>6</xdr:col>
      <xdr:colOff>350520</xdr:colOff>
      <xdr:row>6</xdr:row>
      <xdr:rowOff>114300</xdr:rowOff>
    </xdr:from>
    <xdr:to>
      <xdr:col>8</xdr:col>
      <xdr:colOff>7620</xdr:colOff>
      <xdr:row>10</xdr:row>
      <xdr:rowOff>106680</xdr:rowOff>
    </xdr:to>
    <xdr:pic>
      <xdr:nvPicPr>
        <xdr:cNvPr id="23" name="Graphic 22" descr="Baby crawling with solid fill">
          <a:extLst>
            <a:ext uri="{FF2B5EF4-FFF2-40B4-BE49-F238E27FC236}">
              <a16:creationId xmlns:a16="http://schemas.microsoft.com/office/drawing/2014/main" id="{13CF4AD9-E64A-B1B8-DBA3-BC630A9BBEE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008120" y="1211580"/>
          <a:ext cx="876300" cy="723900"/>
        </a:xfrm>
        <a:prstGeom prst="rect">
          <a:avLst/>
        </a:prstGeom>
      </xdr:spPr>
    </xdr:pic>
    <xdr:clientData/>
  </xdr:twoCellAnchor>
  <xdr:twoCellAnchor>
    <xdr:from>
      <xdr:col>6</xdr:col>
      <xdr:colOff>220980</xdr:colOff>
      <xdr:row>14</xdr:row>
      <xdr:rowOff>167640</xdr:rowOff>
    </xdr:from>
    <xdr:to>
      <xdr:col>9</xdr:col>
      <xdr:colOff>91440</xdr:colOff>
      <xdr:row>18</xdr:row>
      <xdr:rowOff>129540</xdr:rowOff>
    </xdr:to>
    <xdr:sp macro="" textlink="">
      <xdr:nvSpPr>
        <xdr:cNvPr id="24" name="Rectangle: Rounded Corners 23">
          <a:extLst>
            <a:ext uri="{FF2B5EF4-FFF2-40B4-BE49-F238E27FC236}">
              <a16:creationId xmlns:a16="http://schemas.microsoft.com/office/drawing/2014/main" id="{7712C967-0DCB-4F7A-9412-798C6BF2CBEF}"/>
            </a:ext>
          </a:extLst>
        </xdr:cNvPr>
        <xdr:cNvSpPr/>
      </xdr:nvSpPr>
      <xdr:spPr>
        <a:xfrm>
          <a:off x="3878580" y="2727960"/>
          <a:ext cx="1699260" cy="69342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Female</a:t>
          </a:r>
          <a:r>
            <a:rPr lang="en-IN" sz="1400" b="1" baseline="0"/>
            <a:t> :</a:t>
          </a:r>
          <a:endParaRPr lang="en-IN" sz="1400" b="1"/>
        </a:p>
      </xdr:txBody>
    </xdr:sp>
    <xdr:clientData/>
  </xdr:twoCellAnchor>
  <xdr:twoCellAnchor>
    <xdr:from>
      <xdr:col>8</xdr:col>
      <xdr:colOff>76200</xdr:colOff>
      <xdr:row>11</xdr:row>
      <xdr:rowOff>83820</xdr:rowOff>
    </xdr:from>
    <xdr:to>
      <xdr:col>9</xdr:col>
      <xdr:colOff>38100</xdr:colOff>
      <xdr:row>14</xdr:row>
      <xdr:rowOff>53340</xdr:rowOff>
    </xdr:to>
    <xdr:sp macro="" textlink="">
      <xdr:nvSpPr>
        <xdr:cNvPr id="25" name="Rectangle: Rounded Corners 24">
          <a:extLst>
            <a:ext uri="{FF2B5EF4-FFF2-40B4-BE49-F238E27FC236}">
              <a16:creationId xmlns:a16="http://schemas.microsoft.com/office/drawing/2014/main" id="{39CEBE68-B437-45ED-8C40-4FFE4F1FFFD5}"/>
            </a:ext>
          </a:extLst>
        </xdr:cNvPr>
        <xdr:cNvSpPr/>
      </xdr:nvSpPr>
      <xdr:spPr>
        <a:xfrm>
          <a:off x="4953000" y="2095500"/>
          <a:ext cx="571500" cy="51816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20</a:t>
          </a:r>
        </a:p>
      </xdr:txBody>
    </xdr:sp>
    <xdr:clientData/>
  </xdr:twoCellAnchor>
  <xdr:twoCellAnchor>
    <xdr:from>
      <xdr:col>8</xdr:col>
      <xdr:colOff>68580</xdr:colOff>
      <xdr:row>15</xdr:row>
      <xdr:rowOff>121920</xdr:rowOff>
    </xdr:from>
    <xdr:to>
      <xdr:col>9</xdr:col>
      <xdr:colOff>30480</xdr:colOff>
      <xdr:row>18</xdr:row>
      <xdr:rowOff>91440</xdr:rowOff>
    </xdr:to>
    <xdr:sp macro="" textlink="">
      <xdr:nvSpPr>
        <xdr:cNvPr id="26" name="Rectangle: Rounded Corners 25">
          <a:extLst>
            <a:ext uri="{FF2B5EF4-FFF2-40B4-BE49-F238E27FC236}">
              <a16:creationId xmlns:a16="http://schemas.microsoft.com/office/drawing/2014/main" id="{7C1E807D-C2FC-40A0-AF75-A69C60EE94F9}"/>
            </a:ext>
          </a:extLst>
        </xdr:cNvPr>
        <xdr:cNvSpPr/>
      </xdr:nvSpPr>
      <xdr:spPr>
        <a:xfrm>
          <a:off x="4945380" y="2865120"/>
          <a:ext cx="571500" cy="51816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27</a:t>
          </a:r>
        </a:p>
      </xdr:txBody>
    </xdr:sp>
    <xdr:clientData/>
  </xdr:twoCellAnchor>
  <xdr:twoCellAnchor editAs="oneCell">
    <xdr:from>
      <xdr:col>7</xdr:col>
      <xdr:colOff>99060</xdr:colOff>
      <xdr:row>11</xdr:row>
      <xdr:rowOff>91440</xdr:rowOff>
    </xdr:from>
    <xdr:to>
      <xdr:col>8</xdr:col>
      <xdr:colOff>236220</xdr:colOff>
      <xdr:row>14</xdr:row>
      <xdr:rowOff>30480</xdr:rowOff>
    </xdr:to>
    <xdr:pic>
      <xdr:nvPicPr>
        <xdr:cNvPr id="29" name="Graphic 28" descr="Man with solid fill">
          <a:extLst>
            <a:ext uri="{FF2B5EF4-FFF2-40B4-BE49-F238E27FC236}">
              <a16:creationId xmlns:a16="http://schemas.microsoft.com/office/drawing/2014/main" id="{40D69269-0B23-658A-6D94-80F808581EE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66260" y="2103120"/>
          <a:ext cx="746760" cy="487680"/>
        </a:xfrm>
        <a:prstGeom prst="rect">
          <a:avLst/>
        </a:prstGeom>
      </xdr:spPr>
    </xdr:pic>
    <xdr:clientData/>
  </xdr:twoCellAnchor>
  <xdr:twoCellAnchor editAs="oneCell">
    <xdr:from>
      <xdr:col>7</xdr:col>
      <xdr:colOff>152400</xdr:colOff>
      <xdr:row>15</xdr:row>
      <xdr:rowOff>167640</xdr:rowOff>
    </xdr:from>
    <xdr:to>
      <xdr:col>8</xdr:col>
      <xdr:colOff>205740</xdr:colOff>
      <xdr:row>18</xdr:row>
      <xdr:rowOff>58560</xdr:rowOff>
    </xdr:to>
    <xdr:pic>
      <xdr:nvPicPr>
        <xdr:cNvPr id="31" name="Graphic 30" descr="Woman with solid fill">
          <a:extLst>
            <a:ext uri="{FF2B5EF4-FFF2-40B4-BE49-F238E27FC236}">
              <a16:creationId xmlns:a16="http://schemas.microsoft.com/office/drawing/2014/main" id="{13B41D8C-AE99-80C1-3BD2-D202A8DA91E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419600" y="2910840"/>
          <a:ext cx="662940" cy="439560"/>
        </a:xfrm>
        <a:prstGeom prst="rect">
          <a:avLst/>
        </a:prstGeom>
      </xdr:spPr>
    </xdr:pic>
    <xdr:clientData/>
  </xdr:twoCellAnchor>
  <xdr:twoCellAnchor>
    <xdr:from>
      <xdr:col>9</xdr:col>
      <xdr:colOff>220980</xdr:colOff>
      <xdr:row>5</xdr:row>
      <xdr:rowOff>129540</xdr:rowOff>
    </xdr:from>
    <xdr:to>
      <xdr:col>17</xdr:col>
      <xdr:colOff>541020</xdr:colOff>
      <xdr:row>18</xdr:row>
      <xdr:rowOff>99060</xdr:rowOff>
    </xdr:to>
    <xdr:graphicFrame macro="">
      <xdr:nvGraphicFramePr>
        <xdr:cNvPr id="32" name="Chart 31">
          <a:extLst>
            <a:ext uri="{FF2B5EF4-FFF2-40B4-BE49-F238E27FC236}">
              <a16:creationId xmlns:a16="http://schemas.microsoft.com/office/drawing/2014/main" id="{05CEB3F2-E0D6-445D-8F70-053587BB8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312420</xdr:colOff>
      <xdr:row>2</xdr:row>
      <xdr:rowOff>0</xdr:rowOff>
    </xdr:from>
    <xdr:to>
      <xdr:col>23</xdr:col>
      <xdr:colOff>381000</xdr:colOff>
      <xdr:row>4</xdr:row>
      <xdr:rowOff>83820</xdr:rowOff>
    </xdr:to>
    <xdr:sp macro="" textlink="">
      <xdr:nvSpPr>
        <xdr:cNvPr id="4" name="Rectangle: Rounded Corners 3">
          <a:extLst>
            <a:ext uri="{FF2B5EF4-FFF2-40B4-BE49-F238E27FC236}">
              <a16:creationId xmlns:a16="http://schemas.microsoft.com/office/drawing/2014/main" id="{02996C0C-33F0-425C-8394-F55B6FFC780A}"/>
            </a:ext>
          </a:extLst>
        </xdr:cNvPr>
        <xdr:cNvSpPr/>
      </xdr:nvSpPr>
      <xdr:spPr>
        <a:xfrm>
          <a:off x="3360420" y="365760"/>
          <a:ext cx="11041380" cy="44958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2400" b="1">
              <a:solidFill>
                <a:schemeClr val="tx1">
                  <a:lumMod val="85000"/>
                  <a:lumOff val="15000"/>
                </a:schemeClr>
              </a:solidFill>
            </a:rPr>
            <a:t>The Healthy Kids Nutrition &amp; Growth Analysis</a:t>
          </a:r>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avan kumar" refreshedDate="46099.551479050926" createdVersion="8" refreshedVersion="8" minRefreshableVersion="3" recordCount="47" xr:uid="{ABE0A774-B057-4744-ADB3-E8D54829CF92}">
  <cacheSource type="worksheet">
    <worksheetSource ref="A1:L1048576" sheet="Child_Health_Data"/>
  </cacheSource>
  <cacheFields count="12">
    <cacheField name="ChildID" numFmtId="0">
      <sharedItems containsBlank="1" count="44">
        <s v="C1"/>
        <s v="C3"/>
        <s v="C8"/>
        <s v="C9"/>
        <s v="C15"/>
        <s v="C16"/>
        <s v="C18"/>
        <s v="C19"/>
        <s v="C21"/>
        <s v="C22"/>
        <s v="C23"/>
        <s v="C24"/>
        <s v="C26"/>
        <s v="C28"/>
        <s v="C29"/>
        <s v="C32"/>
        <s v="C35"/>
        <s v="C38"/>
        <s v="C39"/>
        <s v="C46"/>
        <s v="C49"/>
        <s v="C5"/>
        <s v="C51"/>
        <s v="C53"/>
        <s v="C56"/>
        <s v="C57"/>
        <s v="C58"/>
        <s v="C59"/>
        <s v="C6"/>
        <s v="C64"/>
        <s v="C66"/>
        <s v="C71"/>
        <s v="C72"/>
        <s v="C73"/>
        <s v="C75"/>
        <s v="C79"/>
        <s v="C81"/>
        <s v="C82"/>
        <s v="C83"/>
        <s v="C84"/>
        <s v="C88"/>
        <s v="C93"/>
        <s v="C94"/>
        <m/>
      </sharedItems>
    </cacheField>
    <cacheField name="Age_Months" numFmtId="0">
      <sharedItems containsString="0" containsBlank="1" containsNumber="1" containsInteger="1" minValue="3" maxValue="59" count="29">
        <n v="47"/>
        <n v="35"/>
        <n v="52"/>
        <n v="28"/>
        <n v="25"/>
        <n v="38"/>
        <n v="57"/>
        <n v="56"/>
        <n v="46"/>
        <n v="3"/>
        <n v="32"/>
        <n v="43"/>
        <n v="31"/>
        <n v="34"/>
        <n v="42"/>
        <n v="36"/>
        <n v="39"/>
        <n v="44"/>
        <n v="59"/>
        <n v="5"/>
        <n v="49"/>
        <n v="41"/>
        <n v="48"/>
        <n v="54"/>
        <n v="45"/>
        <n v="29"/>
        <n v="53"/>
        <n v="26"/>
        <m/>
      </sharedItems>
    </cacheField>
    <cacheField name="Gender" numFmtId="0">
      <sharedItems containsBlank="1" count="3">
        <s v="Female"/>
        <s v="Male"/>
        <m/>
      </sharedItems>
    </cacheField>
    <cacheField name="Height_cm" numFmtId="0">
      <sharedItems containsString="0" containsBlank="1" containsNumber="1" minValue="1.81" maxValue="113.3"/>
    </cacheField>
    <cacheField name="Weight_kg" numFmtId="0">
      <sharedItems containsString="0" containsBlank="1" containsNumber="1" minValue="2.1800000000000002" maxValue="24.56"/>
    </cacheField>
    <cacheField name="Daily_Fruit_Servings" numFmtId="0">
      <sharedItems containsString="0" containsBlank="1" containsNumber="1" containsInteger="1" minValue="1" maxValue="4" count="5">
        <n v="1"/>
        <n v="3"/>
        <n v="2"/>
        <n v="4"/>
        <m/>
      </sharedItems>
    </cacheField>
    <cacheField name="Daily_Veggie_Servings" numFmtId="0">
      <sharedItems containsString="0" containsBlank="1" containsNumber="1" containsInteger="1" minValue="1" maxValue="4" count="5">
        <n v="2"/>
        <n v="3"/>
        <n v="1"/>
        <n v="4"/>
        <m/>
      </sharedItems>
    </cacheField>
    <cacheField name="Daily_Sugar_Drinks" numFmtId="0">
      <sharedItems containsString="0" containsBlank="1" containsNumber="1" containsInteger="1" minValue="1" maxValue="3" count="4">
        <n v="3"/>
        <n v="2"/>
        <n v="1"/>
        <m/>
      </sharedItems>
    </cacheField>
    <cacheField name="ScreenTime_Hours" numFmtId="0">
      <sharedItems containsString="0" containsBlank="1" containsNumber="1" minValue="0.5" maxValue="3.2" count="19">
        <n v="1.2"/>
        <n v="0.6"/>
        <n v="1.3"/>
        <n v="0.8"/>
        <n v="1.6"/>
        <n v="2.1"/>
        <n v="2"/>
        <n v="1.9"/>
        <n v="2.9"/>
        <n v="1.7"/>
        <n v="3.2"/>
        <n v="1.1000000000000001"/>
        <n v="0.9"/>
        <n v="0.5"/>
        <n v="0.7"/>
        <n v="2.8"/>
        <n v="2.2000000000000002"/>
        <n v="2.6"/>
        <m/>
      </sharedItems>
    </cacheField>
    <cacheField name="Region" numFmtId="0">
      <sharedItems containsBlank="1" count="6">
        <s v="South"/>
        <s v="Central"/>
        <s v="North"/>
        <s v="East"/>
        <s v="West"/>
        <m/>
      </sharedItems>
    </cacheField>
    <cacheField name="BMI" numFmtId="0">
      <sharedItems containsString="0" containsBlank="1" containsNumber="1" minValue="1.9085619647749572" maxValue="43924.178138640455" count="47">
        <n v="835.06663436843382"/>
        <n v="19.185127564907393"/>
        <n v="1221.7031979877831"/>
        <n v="19.589420799631078"/>
        <n v="17.652433135313405"/>
        <n v="17.059205462973896"/>
        <n v="15.801108000799067"/>
        <n v="70.360341999786471"/>
        <n v="1336.0969387755106"/>
        <n v="17.610292772445963"/>
        <n v="1015.0008471373277"/>
        <n v="859.03535126696806"/>
        <n v="16.821669829165565"/>
        <n v="779.18598605820762"/>
        <n v="709.23734385272849"/>
        <n v="156.77891426596568"/>
        <n v="13.618099737124188"/>
        <n v="16.411348608910586"/>
        <n v="19.026574134418222"/>
        <n v="15.839176320537135"/>
        <n v="17.740865378038603"/>
        <n v="462.77238939954128"/>
        <n v="14.190800401461026"/>
        <n v="15.864875656303504"/>
        <n v="19.570875087215928"/>
        <n v="18.166443980296357"/>
        <n v="844.58839168337477"/>
        <n v="843.72247981410942"/>
        <n v="1778.9044816659123"/>
        <n v="686.41975308641975"/>
        <n v="1.9085619647749572"/>
        <n v="1019.8421084410096"/>
        <n v="588.91147470662872"/>
        <n v="19.280469436678437"/>
        <n v="1013.3506838670743"/>
        <n v="90.738813735691991"/>
        <n v="1711.377342706239"/>
        <n v="542.94076554393655"/>
        <n v="14.273984861929826"/>
        <n v="889.12245061322767"/>
        <n v="43924.178138640455"/>
        <n v="1135.3271412237766"/>
        <n v="14.983791760933824"/>
        <n v="101.00875557213132"/>
        <n v="17.754626189060644"/>
        <n v="16.500272071630885"/>
        <m/>
      </sharedItems>
    </cacheField>
    <cacheField name="Health_Status" numFmtId="0">
      <sharedItems containsBlank="1" count="4">
        <s v="Obese"/>
        <s v="Healthy Weight"/>
        <s v="Underweight"/>
        <m/>
      </sharedItems>
    </cacheField>
  </cacheFields>
  <extLst>
    <ext xmlns:x14="http://schemas.microsoft.com/office/spreadsheetml/2009/9/main" uri="{725AE2AE-9491-48be-B2B4-4EB974FC3084}">
      <x14:pivotCacheDefinition pivotCacheId="10368576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x v="0"/>
    <x v="0"/>
    <x v="0"/>
    <n v="14.41"/>
    <n v="17.34"/>
    <x v="0"/>
    <x v="0"/>
    <x v="0"/>
    <x v="0"/>
    <x v="0"/>
    <x v="0"/>
    <x v="0"/>
  </r>
  <r>
    <x v="1"/>
    <x v="1"/>
    <x v="0"/>
    <n v="94.96"/>
    <n v="17.3"/>
    <x v="1"/>
    <x v="1"/>
    <x v="1"/>
    <x v="1"/>
    <x v="1"/>
    <x v="1"/>
    <x v="1"/>
  </r>
  <r>
    <x v="2"/>
    <x v="2"/>
    <x v="0"/>
    <n v="12.65"/>
    <n v="19.55"/>
    <x v="2"/>
    <x v="0"/>
    <x v="2"/>
    <x v="2"/>
    <x v="1"/>
    <x v="2"/>
    <x v="0"/>
  </r>
  <r>
    <x v="3"/>
    <x v="3"/>
    <x v="1"/>
    <n v="91.47"/>
    <n v="16.39"/>
    <x v="1"/>
    <x v="0"/>
    <x v="0"/>
    <x v="3"/>
    <x v="2"/>
    <x v="3"/>
    <x v="1"/>
  </r>
  <r>
    <x v="4"/>
    <x v="4"/>
    <x v="1"/>
    <n v="92.58"/>
    <n v="15.13"/>
    <x v="2"/>
    <x v="0"/>
    <x v="1"/>
    <x v="4"/>
    <x v="1"/>
    <x v="4"/>
    <x v="2"/>
  </r>
  <r>
    <x v="5"/>
    <x v="5"/>
    <x v="1"/>
    <n v="99.65"/>
    <n v="16.940000000000001"/>
    <x v="0"/>
    <x v="1"/>
    <x v="0"/>
    <x v="5"/>
    <x v="1"/>
    <x v="5"/>
    <x v="2"/>
  </r>
  <r>
    <x v="6"/>
    <x v="4"/>
    <x v="0"/>
    <n v="96.42"/>
    <n v="14.69"/>
    <x v="0"/>
    <x v="1"/>
    <x v="1"/>
    <x v="0"/>
    <x v="2"/>
    <x v="6"/>
    <x v="2"/>
  </r>
  <r>
    <x v="7"/>
    <x v="6"/>
    <x v="0"/>
    <n v="19.260000000000002"/>
    <n v="2.61"/>
    <x v="1"/>
    <x v="0"/>
    <x v="2"/>
    <x v="6"/>
    <x v="3"/>
    <x v="7"/>
    <x v="0"/>
  </r>
  <r>
    <x v="8"/>
    <x v="1"/>
    <x v="0"/>
    <n v="11.2"/>
    <n v="16.760000000000002"/>
    <x v="1"/>
    <x v="0"/>
    <x v="1"/>
    <x v="7"/>
    <x v="0"/>
    <x v="8"/>
    <x v="0"/>
  </r>
  <r>
    <x v="9"/>
    <x v="7"/>
    <x v="1"/>
    <n v="111.44"/>
    <n v="21.87"/>
    <x v="3"/>
    <x v="2"/>
    <x v="1"/>
    <x v="7"/>
    <x v="3"/>
    <x v="9"/>
    <x v="2"/>
  </r>
  <r>
    <x v="10"/>
    <x v="8"/>
    <x v="1"/>
    <n v="13.85"/>
    <n v="19.47"/>
    <x v="2"/>
    <x v="3"/>
    <x v="0"/>
    <x v="8"/>
    <x v="3"/>
    <x v="10"/>
    <x v="0"/>
  </r>
  <r>
    <x v="11"/>
    <x v="1"/>
    <x v="0"/>
    <n v="12.67"/>
    <n v="13.79"/>
    <x v="3"/>
    <x v="2"/>
    <x v="2"/>
    <x v="6"/>
    <x v="1"/>
    <x v="11"/>
    <x v="0"/>
  </r>
  <r>
    <x v="12"/>
    <x v="9"/>
    <x v="0"/>
    <n v="96.67"/>
    <n v="15.72"/>
    <x v="1"/>
    <x v="2"/>
    <x v="1"/>
    <x v="0"/>
    <x v="2"/>
    <x v="12"/>
    <x v="2"/>
  </r>
  <r>
    <x v="13"/>
    <x v="10"/>
    <x v="0"/>
    <n v="12.28"/>
    <n v="11.75"/>
    <x v="2"/>
    <x v="2"/>
    <x v="2"/>
    <x v="2"/>
    <x v="3"/>
    <x v="13"/>
    <x v="0"/>
  </r>
  <r>
    <x v="14"/>
    <x v="8"/>
    <x v="1"/>
    <n v="15.6"/>
    <n v="17.260000000000002"/>
    <x v="3"/>
    <x v="2"/>
    <x v="1"/>
    <x v="3"/>
    <x v="1"/>
    <x v="14"/>
    <x v="0"/>
  </r>
  <r>
    <x v="1"/>
    <x v="11"/>
    <x v="1"/>
    <n v="13.22"/>
    <n v="2.74"/>
    <x v="2"/>
    <x v="0"/>
    <x v="0"/>
    <x v="5"/>
    <x v="0"/>
    <x v="15"/>
    <x v="0"/>
  </r>
  <r>
    <x v="15"/>
    <x v="10"/>
    <x v="1"/>
    <n v="97.29"/>
    <n v="12.89"/>
    <x v="3"/>
    <x v="0"/>
    <x v="1"/>
    <x v="2"/>
    <x v="1"/>
    <x v="16"/>
    <x v="2"/>
  </r>
  <r>
    <x v="16"/>
    <x v="9"/>
    <x v="0"/>
    <n v="93.15"/>
    <n v="14.24"/>
    <x v="0"/>
    <x v="2"/>
    <x v="1"/>
    <x v="2"/>
    <x v="1"/>
    <x v="17"/>
    <x v="2"/>
  </r>
  <r>
    <x v="17"/>
    <x v="12"/>
    <x v="0"/>
    <n v="96.26"/>
    <n v="17.63"/>
    <x v="1"/>
    <x v="1"/>
    <x v="1"/>
    <x v="9"/>
    <x v="3"/>
    <x v="18"/>
    <x v="1"/>
  </r>
  <r>
    <x v="18"/>
    <x v="3"/>
    <x v="1"/>
    <n v="97.25"/>
    <n v="14.98"/>
    <x v="1"/>
    <x v="3"/>
    <x v="0"/>
    <x v="10"/>
    <x v="1"/>
    <x v="19"/>
    <x v="2"/>
  </r>
  <r>
    <x v="19"/>
    <x v="13"/>
    <x v="1"/>
    <n v="99.12"/>
    <n v="17.43"/>
    <x v="1"/>
    <x v="3"/>
    <x v="0"/>
    <x v="4"/>
    <x v="0"/>
    <x v="20"/>
    <x v="2"/>
  </r>
  <r>
    <x v="20"/>
    <x v="14"/>
    <x v="0"/>
    <n v="18.71"/>
    <n v="16.2"/>
    <x v="2"/>
    <x v="2"/>
    <x v="0"/>
    <x v="11"/>
    <x v="2"/>
    <x v="21"/>
    <x v="0"/>
  </r>
  <r>
    <x v="21"/>
    <x v="15"/>
    <x v="0"/>
    <n v="97.21"/>
    <n v="13.41"/>
    <x v="3"/>
    <x v="1"/>
    <x v="2"/>
    <x v="12"/>
    <x v="1"/>
    <x v="22"/>
    <x v="2"/>
  </r>
  <r>
    <x v="22"/>
    <x v="13"/>
    <x v="0"/>
    <n v="98.46"/>
    <n v="15.38"/>
    <x v="1"/>
    <x v="0"/>
    <x v="1"/>
    <x v="0"/>
    <x v="0"/>
    <x v="23"/>
    <x v="2"/>
  </r>
  <r>
    <x v="23"/>
    <x v="16"/>
    <x v="0"/>
    <n v="96.54"/>
    <n v="18.239999999999998"/>
    <x v="3"/>
    <x v="1"/>
    <x v="2"/>
    <x v="7"/>
    <x v="4"/>
    <x v="24"/>
    <x v="1"/>
  </r>
  <r>
    <x v="24"/>
    <x v="12"/>
    <x v="0"/>
    <n v="96.28"/>
    <n v="16.84"/>
    <x v="3"/>
    <x v="0"/>
    <x v="0"/>
    <x v="13"/>
    <x v="3"/>
    <x v="25"/>
    <x v="2"/>
  </r>
  <r>
    <x v="25"/>
    <x v="17"/>
    <x v="0"/>
    <n v="14.76"/>
    <n v="18.399999999999999"/>
    <x v="3"/>
    <x v="0"/>
    <x v="2"/>
    <x v="14"/>
    <x v="0"/>
    <x v="26"/>
    <x v="0"/>
  </r>
  <r>
    <x v="26"/>
    <x v="14"/>
    <x v="1"/>
    <n v="15.35"/>
    <n v="19.88"/>
    <x v="0"/>
    <x v="0"/>
    <x v="1"/>
    <x v="15"/>
    <x v="3"/>
    <x v="27"/>
    <x v="0"/>
  </r>
  <r>
    <x v="27"/>
    <x v="18"/>
    <x v="1"/>
    <n v="11.75"/>
    <n v="24.56"/>
    <x v="3"/>
    <x v="3"/>
    <x v="2"/>
    <x v="9"/>
    <x v="0"/>
    <x v="28"/>
    <x v="0"/>
  </r>
  <r>
    <x v="28"/>
    <x v="7"/>
    <x v="1"/>
    <n v="18"/>
    <n v="22.24"/>
    <x v="2"/>
    <x v="3"/>
    <x v="1"/>
    <x v="11"/>
    <x v="1"/>
    <x v="29"/>
    <x v="0"/>
  </r>
  <r>
    <x v="29"/>
    <x v="7"/>
    <x v="1"/>
    <n v="113.3"/>
    <n v="2.4500000000000002"/>
    <x v="2"/>
    <x v="0"/>
    <x v="1"/>
    <x v="13"/>
    <x v="4"/>
    <x v="30"/>
    <x v="2"/>
  </r>
  <r>
    <x v="30"/>
    <x v="19"/>
    <x v="0"/>
    <n v="14.56"/>
    <n v="21.62"/>
    <x v="3"/>
    <x v="2"/>
    <x v="2"/>
    <x v="6"/>
    <x v="0"/>
    <x v="31"/>
    <x v="0"/>
  </r>
  <r>
    <x v="31"/>
    <x v="20"/>
    <x v="1"/>
    <n v="18.22"/>
    <n v="19.55"/>
    <x v="0"/>
    <x v="2"/>
    <x v="1"/>
    <x v="4"/>
    <x v="3"/>
    <x v="32"/>
    <x v="0"/>
  </r>
  <r>
    <x v="32"/>
    <x v="10"/>
    <x v="0"/>
    <n v="97.69"/>
    <n v="18.399999999999999"/>
    <x v="1"/>
    <x v="0"/>
    <x v="1"/>
    <x v="16"/>
    <x v="0"/>
    <x v="33"/>
    <x v="1"/>
  </r>
  <r>
    <x v="33"/>
    <x v="2"/>
    <x v="0"/>
    <n v="14.99"/>
    <n v="22.77"/>
    <x v="1"/>
    <x v="0"/>
    <x v="2"/>
    <x v="11"/>
    <x v="1"/>
    <x v="34"/>
    <x v="0"/>
  </r>
  <r>
    <x v="34"/>
    <x v="21"/>
    <x v="0"/>
    <n v="15.5"/>
    <n v="2.1800000000000002"/>
    <x v="0"/>
    <x v="3"/>
    <x v="0"/>
    <x v="7"/>
    <x v="2"/>
    <x v="35"/>
    <x v="0"/>
  </r>
  <r>
    <x v="35"/>
    <x v="22"/>
    <x v="1"/>
    <n v="11.32"/>
    <n v="21.93"/>
    <x v="3"/>
    <x v="0"/>
    <x v="1"/>
    <x v="15"/>
    <x v="1"/>
    <x v="36"/>
    <x v="0"/>
  </r>
  <r>
    <x v="2"/>
    <x v="23"/>
    <x v="0"/>
    <n v="19.829999999999998"/>
    <n v="21.35"/>
    <x v="1"/>
    <x v="0"/>
    <x v="2"/>
    <x v="14"/>
    <x v="2"/>
    <x v="37"/>
    <x v="0"/>
  </r>
  <r>
    <x v="36"/>
    <x v="20"/>
    <x v="1"/>
    <n v="112.98"/>
    <n v="18.22"/>
    <x v="1"/>
    <x v="2"/>
    <x v="2"/>
    <x v="9"/>
    <x v="0"/>
    <x v="38"/>
    <x v="2"/>
  </r>
  <r>
    <x v="37"/>
    <x v="24"/>
    <x v="0"/>
    <n v="14.87"/>
    <n v="19.66"/>
    <x v="0"/>
    <x v="3"/>
    <x v="1"/>
    <x v="11"/>
    <x v="4"/>
    <x v="39"/>
    <x v="0"/>
  </r>
  <r>
    <x v="38"/>
    <x v="9"/>
    <x v="1"/>
    <n v="1.81"/>
    <n v="14.39"/>
    <x v="2"/>
    <x v="3"/>
    <x v="1"/>
    <x v="17"/>
    <x v="0"/>
    <x v="40"/>
    <x v="0"/>
  </r>
  <r>
    <x v="39"/>
    <x v="25"/>
    <x v="0"/>
    <n v="11.16"/>
    <n v="14.14"/>
    <x v="2"/>
    <x v="0"/>
    <x v="0"/>
    <x v="2"/>
    <x v="0"/>
    <x v="41"/>
    <x v="0"/>
  </r>
  <r>
    <x v="40"/>
    <x v="4"/>
    <x v="0"/>
    <n v="99.72"/>
    <n v="14.9"/>
    <x v="3"/>
    <x v="0"/>
    <x v="0"/>
    <x v="16"/>
    <x v="1"/>
    <x v="42"/>
    <x v="2"/>
  </r>
  <r>
    <x v="3"/>
    <x v="26"/>
    <x v="1"/>
    <n v="16.440000000000001"/>
    <n v="2.73"/>
    <x v="3"/>
    <x v="1"/>
    <x v="1"/>
    <x v="6"/>
    <x v="0"/>
    <x v="43"/>
    <x v="0"/>
  </r>
  <r>
    <x v="41"/>
    <x v="27"/>
    <x v="1"/>
    <n v="92.8"/>
    <n v="15.29"/>
    <x v="3"/>
    <x v="2"/>
    <x v="1"/>
    <x v="17"/>
    <x v="3"/>
    <x v="44"/>
    <x v="2"/>
  </r>
  <r>
    <x v="42"/>
    <x v="4"/>
    <x v="0"/>
    <n v="96.42"/>
    <n v="15.34"/>
    <x v="3"/>
    <x v="1"/>
    <x v="1"/>
    <x v="12"/>
    <x v="3"/>
    <x v="45"/>
    <x v="2"/>
  </r>
  <r>
    <x v="43"/>
    <x v="28"/>
    <x v="2"/>
    <m/>
    <m/>
    <x v="4"/>
    <x v="4"/>
    <x v="3"/>
    <x v="18"/>
    <x v="5"/>
    <x v="4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F53360-441B-4AED-B918-95D8F53E9D8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6" firstHeaderRow="0" firstDataRow="1" firstDataCol="1"/>
  <pivotFields count="12">
    <pivotField dataField="1" showAll="0">
      <items count="45">
        <item x="0"/>
        <item x="4"/>
        <item x="5"/>
        <item x="6"/>
        <item x="7"/>
        <item x="8"/>
        <item x="9"/>
        <item x="10"/>
        <item x="11"/>
        <item x="12"/>
        <item x="13"/>
        <item x="14"/>
        <item x="1"/>
        <item x="15"/>
        <item x="16"/>
        <item x="17"/>
        <item x="18"/>
        <item x="19"/>
        <item x="20"/>
        <item x="21"/>
        <item x="22"/>
        <item x="23"/>
        <item x="24"/>
        <item x="25"/>
        <item x="26"/>
        <item x="27"/>
        <item x="28"/>
        <item x="29"/>
        <item x="30"/>
        <item x="31"/>
        <item x="32"/>
        <item x="33"/>
        <item x="34"/>
        <item x="35"/>
        <item x="2"/>
        <item x="36"/>
        <item x="37"/>
        <item x="38"/>
        <item x="39"/>
        <item x="40"/>
        <item x="3"/>
        <item x="41"/>
        <item x="42"/>
        <item x="43"/>
        <item t="default"/>
      </items>
    </pivotField>
    <pivotField dataField="1" showAll="0">
      <items count="30">
        <item x="9"/>
        <item h="1" x="19"/>
        <item h="1" x="4"/>
        <item h="1" x="27"/>
        <item h="1" x="3"/>
        <item h="1" x="25"/>
        <item h="1" x="12"/>
        <item h="1" x="10"/>
        <item h="1" x="13"/>
        <item h="1" x="1"/>
        <item h="1" x="15"/>
        <item h="1" x="5"/>
        <item h="1" x="16"/>
        <item h="1" x="21"/>
        <item h="1" x="14"/>
        <item h="1" x="11"/>
        <item h="1" x="17"/>
        <item h="1" x="24"/>
        <item h="1" x="8"/>
        <item h="1" x="0"/>
        <item h="1" x="22"/>
        <item h="1" x="20"/>
        <item h="1" x="2"/>
        <item h="1" x="26"/>
        <item h="1" x="23"/>
        <item h="1" x="7"/>
        <item h="1" x="6"/>
        <item h="1" x="18"/>
        <item h="1" x="28"/>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axis="axisRow" showAll="0">
      <items count="5">
        <item x="1"/>
        <item x="0"/>
        <item x="2"/>
        <item x="3"/>
        <item t="default"/>
      </items>
    </pivotField>
  </pivotFields>
  <rowFields count="1">
    <field x="11"/>
  </rowFields>
  <rowItems count="3">
    <i>
      <x v="1"/>
    </i>
    <i>
      <x v="2"/>
    </i>
    <i t="grand">
      <x/>
    </i>
  </rowItems>
  <colFields count="1">
    <field x="-2"/>
  </colFields>
  <colItems count="2">
    <i>
      <x/>
    </i>
    <i i="1">
      <x v="1"/>
    </i>
  </colItems>
  <dataFields count="2">
    <dataField name="Average of Age_Months" fld="1" subtotal="average" baseField="0" baseItem="0"/>
    <dataField name="Count of Child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202B7F-EAC7-475B-BD24-5086445772C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F9" firstHeaderRow="1" firstDataRow="2" firstDataCol="1"/>
  <pivotFields count="12">
    <pivotField showAll="0"/>
    <pivotField showAll="0"/>
    <pivotField showAll="0"/>
    <pivotField showAll="0"/>
    <pivotField showAll="0"/>
    <pivotField axis="axisRow" showAll="0">
      <items count="6">
        <item x="0"/>
        <item x="2"/>
        <item x="1"/>
        <item x="3"/>
        <item h="1" x="4"/>
        <item t="default"/>
      </items>
    </pivotField>
    <pivotField axis="axisCol" showAll="0">
      <items count="6">
        <item x="2"/>
        <item x="0"/>
        <item x="1"/>
        <item x="3"/>
        <item h="1" x="4"/>
        <item t="default"/>
      </items>
    </pivotField>
    <pivotField showAll="0"/>
    <pivotField showAll="0"/>
    <pivotField showAll="0">
      <items count="7">
        <item x="1"/>
        <item h="1" x="3"/>
        <item h="1" x="2"/>
        <item h="1" x="0"/>
        <item h="1" x="4"/>
        <item h="1" x="5"/>
        <item t="default"/>
      </items>
    </pivotField>
    <pivotField dataField="1" showAll="0"/>
    <pivotField showAll="0"/>
  </pivotFields>
  <rowFields count="1">
    <field x="5"/>
  </rowFields>
  <rowItems count="5">
    <i>
      <x/>
    </i>
    <i>
      <x v="1"/>
    </i>
    <i>
      <x v="2"/>
    </i>
    <i>
      <x v="3"/>
    </i>
    <i t="grand">
      <x/>
    </i>
  </rowItems>
  <colFields count="1">
    <field x="6"/>
  </colFields>
  <colItems count="5">
    <i>
      <x/>
    </i>
    <i>
      <x v="1"/>
    </i>
    <i>
      <x v="2"/>
    </i>
    <i>
      <x v="3"/>
    </i>
    <i t="grand">
      <x/>
    </i>
  </colItems>
  <dataFields count="1">
    <dataField name="Average of BMI" fld="10" subtotal="average" baseField="5" baseItem="0"/>
  </dataFields>
  <chartFormats count="1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6" count="1" selected="0">
            <x v="1"/>
          </reference>
        </references>
      </pivotArea>
    </chartFormat>
    <chartFormat chart="0" format="4" series="1">
      <pivotArea type="data" outline="0" fieldPosition="0">
        <references count="2">
          <reference field="4294967294" count="1" selected="0">
            <x v="0"/>
          </reference>
          <reference field="6" count="1" selected="0">
            <x v="2"/>
          </reference>
        </references>
      </pivotArea>
    </chartFormat>
    <chartFormat chart="0" format="5" series="1">
      <pivotArea type="data" outline="0" fieldPosition="0">
        <references count="2">
          <reference field="4294967294" count="1" selected="0">
            <x v="0"/>
          </reference>
          <reference field="6" count="1" selected="0">
            <x v="3"/>
          </reference>
        </references>
      </pivotArea>
    </chartFormat>
    <chartFormat chart="0" format="6" series="1">
      <pivotArea type="data" outline="0" fieldPosition="0">
        <references count="2">
          <reference field="4294967294" count="1" selected="0">
            <x v="0"/>
          </reference>
          <reference field="6" count="1" selected="0">
            <x v="4"/>
          </reference>
        </references>
      </pivotArea>
    </chartFormat>
    <chartFormat chart="3" format="11" series="1">
      <pivotArea type="data" outline="0" fieldPosition="0">
        <references count="2">
          <reference field="4294967294" count="1" selected="0">
            <x v="0"/>
          </reference>
          <reference field="6" count="1" selected="0">
            <x v="0"/>
          </reference>
        </references>
      </pivotArea>
    </chartFormat>
    <chartFormat chart="3" format="12" series="1">
      <pivotArea type="data" outline="0" fieldPosition="0">
        <references count="2">
          <reference field="4294967294" count="1" selected="0">
            <x v="0"/>
          </reference>
          <reference field="6" count="1" selected="0">
            <x v="1"/>
          </reference>
        </references>
      </pivotArea>
    </chartFormat>
    <chartFormat chart="3" format="13" series="1">
      <pivotArea type="data" outline="0" fieldPosition="0">
        <references count="2">
          <reference field="4294967294" count="1" selected="0">
            <x v="0"/>
          </reference>
          <reference field="6" count="1" selected="0">
            <x v="2"/>
          </reference>
        </references>
      </pivotArea>
    </chartFormat>
    <chartFormat chart="3" format="14" series="1">
      <pivotArea type="data" outline="0" fieldPosition="0">
        <references count="2">
          <reference field="4294967294" count="1" selected="0">
            <x v="0"/>
          </reference>
          <reference field="6" count="1" selected="0">
            <x v="3"/>
          </reference>
        </references>
      </pivotArea>
    </chartFormat>
    <chartFormat chart="3" format="15" series="1">
      <pivotArea type="data" outline="0" fieldPosition="0">
        <references count="2">
          <reference field="4294967294" count="1" selected="0">
            <x v="0"/>
          </reference>
          <reference field="5" count="1" selected="0">
            <x v="0"/>
          </reference>
        </references>
      </pivotArea>
    </chartFormat>
    <chartFormat chart="3" format="16" series="1">
      <pivotArea type="data" outline="0" fieldPosition="0">
        <references count="2">
          <reference field="4294967294" count="1" selected="0">
            <x v="0"/>
          </reference>
          <reference field="5" count="1" selected="0">
            <x v="1"/>
          </reference>
        </references>
      </pivotArea>
    </chartFormat>
    <chartFormat chart="3" format="17" series="1">
      <pivotArea type="data" outline="0" fieldPosition="0">
        <references count="2">
          <reference field="4294967294" count="1" selected="0">
            <x v="0"/>
          </reference>
          <reference field="5" count="1" selected="0">
            <x v="2"/>
          </reference>
        </references>
      </pivotArea>
    </chartFormat>
    <chartFormat chart="3" format="18" series="1">
      <pivotArea type="data" outline="0" fieldPosition="0">
        <references count="2">
          <reference field="4294967294" count="1" selected="0">
            <x v="0"/>
          </reference>
          <reference field="5" count="1" selected="0">
            <x v="3"/>
          </reference>
        </references>
      </pivotArea>
    </chartFormat>
    <chartFormat chart="0" format="7"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734672-446E-49E3-B8E2-2BA1EC5B1EC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8" firstHeaderRow="0" firstDataRow="1" firstDataCol="1"/>
  <pivotFields count="12">
    <pivotField showAll="0"/>
    <pivotField showAll="0"/>
    <pivotField showAll="0"/>
    <pivotField showAll="0"/>
    <pivotField showAll="0"/>
    <pivotField showAll="0"/>
    <pivotField showAll="0"/>
    <pivotField dataField="1" showAll="0">
      <items count="5">
        <item x="2"/>
        <item x="1"/>
        <item x="0"/>
        <item x="3"/>
        <item t="default"/>
      </items>
    </pivotField>
    <pivotField dataField="1" showAll="0">
      <items count="20">
        <item x="13"/>
        <item x="1"/>
        <item x="14"/>
        <item x="3"/>
        <item x="12"/>
        <item x="11"/>
        <item x="0"/>
        <item x="2"/>
        <item x="4"/>
        <item x="9"/>
        <item x="7"/>
        <item x="6"/>
        <item x="5"/>
        <item x="16"/>
        <item x="17"/>
        <item x="15"/>
        <item x="8"/>
        <item x="10"/>
        <item x="18"/>
        <item t="default"/>
      </items>
    </pivotField>
    <pivotField showAll="0"/>
    <pivotField showAll="0"/>
    <pivotField axis="axisRow" showAll="0">
      <items count="5">
        <item x="1"/>
        <item x="0"/>
        <item x="2"/>
        <item x="3"/>
        <item t="default"/>
      </items>
    </pivotField>
  </pivotFields>
  <rowFields count="1">
    <field x="11"/>
  </rowFields>
  <rowItems count="5">
    <i>
      <x/>
    </i>
    <i>
      <x v="1"/>
    </i>
    <i>
      <x v="2"/>
    </i>
    <i>
      <x v="3"/>
    </i>
    <i t="grand">
      <x/>
    </i>
  </rowItems>
  <colFields count="1">
    <field x="-2"/>
  </colFields>
  <colItems count="2">
    <i>
      <x/>
    </i>
    <i i="1">
      <x v="1"/>
    </i>
  </colItems>
  <dataFields count="2">
    <dataField name="Average of Daily_Sugar_Drinks" fld="7" subtotal="average" baseField="11" baseItem="0"/>
    <dataField name="Average of ScreenTime_Hours" fld="8" subtotal="average" baseField="11"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1F506C-8123-4085-B0F6-10A9A11D443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8" firstHeaderRow="0" firstDataRow="1" firstDataCol="1"/>
  <pivotFields count="12">
    <pivotField showAll="0"/>
    <pivotField showAll="0"/>
    <pivotField showAll="0"/>
    <pivotField showAll="0"/>
    <pivotField showAll="0"/>
    <pivotField dataField="1" showAll="0">
      <items count="6">
        <item h="1" x="0"/>
        <item h="1" x="2"/>
        <item h="1" x="1"/>
        <item x="3"/>
        <item h="1" x="4"/>
        <item t="default"/>
      </items>
    </pivotField>
    <pivotField showAll="0"/>
    <pivotField showAll="0"/>
    <pivotField showAll="0"/>
    <pivotField axis="axisRow" showAll="0">
      <items count="7">
        <item x="1"/>
        <item x="3"/>
        <item x="2"/>
        <item x="0"/>
        <item x="4"/>
        <item h="1" x="5"/>
        <item t="default"/>
      </items>
    </pivotField>
    <pivotField dataField="1" showAll="0">
      <items count="48">
        <item x="30"/>
        <item x="16"/>
        <item x="22"/>
        <item x="38"/>
        <item x="42"/>
        <item x="6"/>
        <item x="19"/>
        <item x="23"/>
        <item x="17"/>
        <item x="45"/>
        <item x="12"/>
        <item x="5"/>
        <item x="9"/>
        <item x="4"/>
        <item x="20"/>
        <item x="44"/>
        <item x="25"/>
        <item x="18"/>
        <item x="1"/>
        <item x="33"/>
        <item x="24"/>
        <item x="3"/>
        <item x="7"/>
        <item x="35"/>
        <item x="43"/>
        <item x="15"/>
        <item x="21"/>
        <item x="37"/>
        <item x="32"/>
        <item x="29"/>
        <item x="14"/>
        <item x="13"/>
        <item x="0"/>
        <item x="27"/>
        <item x="26"/>
        <item x="11"/>
        <item x="39"/>
        <item x="34"/>
        <item x="10"/>
        <item x="31"/>
        <item x="41"/>
        <item x="2"/>
        <item x="8"/>
        <item x="36"/>
        <item x="28"/>
        <item x="40"/>
        <item x="46"/>
        <item t="default"/>
      </items>
    </pivotField>
    <pivotField showAll="0"/>
  </pivotFields>
  <rowFields count="1">
    <field x="9"/>
  </rowFields>
  <rowItems count="5">
    <i>
      <x/>
    </i>
    <i>
      <x v="1"/>
    </i>
    <i>
      <x v="3"/>
    </i>
    <i>
      <x v="4"/>
    </i>
    <i t="grand">
      <x/>
    </i>
  </rowItems>
  <colFields count="1">
    <field x="-2"/>
  </colFields>
  <colItems count="2">
    <i>
      <x/>
    </i>
    <i i="1">
      <x v="1"/>
    </i>
  </colItems>
  <dataFields count="2">
    <dataField name="Average of BMI" fld="10" subtotal="average" baseField="9" baseItem="0"/>
    <dataField name="Average of Daily_Fruit_Servings" fld="5" subtotal="average" baseField="9"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937E10-070D-42FF-9D00-EE0C53DF6244}" sourceName="Region">
  <pivotTables>
    <pivotTable tabId="4" name="PivotTable3"/>
  </pivotTables>
  <data>
    <tabular pivotCacheId="1036857604">
      <items count="6">
        <i x="1" s="1"/>
        <i x="3"/>
        <i x="2"/>
        <i x="0"/>
        <i x="4"/>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ily_Fruit_Servings" xr10:uid="{3E6A4014-04DE-47EB-959E-8847C37035F4}" sourceName="Daily_Fruit_Servings">
  <pivotTables>
    <pivotTable tabId="6" name="PivotTable5"/>
  </pivotTables>
  <data>
    <tabular pivotCacheId="1036857604">
      <items count="5">
        <i x="0"/>
        <i x="2"/>
        <i x="1"/>
        <i x="3" s="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ily_Sugar_Drinks" xr10:uid="{B881DD9D-E8C6-43E8-A98F-0EB8CF70F57F}" sourceName="Daily_Sugar_Drinks">
  <pivotTables>
    <pivotTable tabId="5" name="PivotTable4"/>
  </pivotTables>
  <data>
    <tabular pivotCacheId="1036857604">
      <items count="4">
        <i x="2" s="1"/>
        <i x="1" s="1"/>
        <i x="0"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reenTime_Hours" xr10:uid="{A2F536CE-0947-466F-A078-8367BEC55092}" sourceName="ScreenTime_Hours">
  <pivotTables>
    <pivotTable tabId="5" name="PivotTable4"/>
  </pivotTables>
  <data>
    <tabular pivotCacheId="1036857604">
      <items count="19">
        <i x="13" s="1"/>
        <i x="1" s="1"/>
        <i x="14" s="1"/>
        <i x="3" s="1"/>
        <i x="12" s="1"/>
        <i x="11" s="1"/>
        <i x="0" s="1"/>
        <i x="2" s="1"/>
        <i x="4" s="1"/>
        <i x="9" s="1"/>
        <i x="7" s="1"/>
        <i x="6" s="1"/>
        <i x="5" s="1"/>
        <i x="16" s="1"/>
        <i x="17" s="1"/>
        <i x="15" s="1"/>
        <i x="8" s="1"/>
        <i x="10" s="1"/>
        <i x="18"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_Status" xr10:uid="{C5A94D33-AACC-4000-AEEE-8F6B36FFB7D4}" sourceName="Health_Status">
  <pivotTables>
    <pivotTable tabId="5" name="PivotTable4"/>
  </pivotTables>
  <data>
    <tabular pivotCacheId="1036857604">
      <items count="4">
        <i x="1" s="1"/>
        <i x="0" s="1"/>
        <i x="2" s="1"/>
        <i x="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Months" xr10:uid="{647B4533-482A-4E21-AB68-B673757CC36C}" sourceName="Age_Months">
  <pivotTables>
    <pivotTable tabId="3" name="PivotTable2"/>
  </pivotTables>
  <data>
    <tabular pivotCacheId="1036857604">
      <items count="29">
        <i x="9" s="1"/>
        <i x="19"/>
        <i x="4"/>
        <i x="27"/>
        <i x="3"/>
        <i x="25"/>
        <i x="12"/>
        <i x="10"/>
        <i x="13"/>
        <i x="1"/>
        <i x="15"/>
        <i x="5"/>
        <i x="16"/>
        <i x="21"/>
        <i x="14"/>
        <i x="11"/>
        <i x="17"/>
        <i x="24"/>
        <i x="8"/>
        <i x="0"/>
        <i x="22"/>
        <i x="20"/>
        <i x="2"/>
        <i x="26"/>
        <i x="23"/>
        <i x="7"/>
        <i x="6"/>
        <i x="18"/>
        <i x="28"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4C6FEA6-95C4-45EC-BC76-200BD705D514}" sourceName="Gender">
  <pivotTables>
    <pivotTable tabId="3" name="PivotTable2"/>
  </pivotTables>
  <data>
    <tabular pivotCacheId="1036857604">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Months" xr10:uid="{3D5A8679-235B-45E3-9F66-9CEE7E6D2A09}" cache="Slicer_Age_Months" caption="Age_Months" rowHeight="234950"/>
  <slicer name="Gender" xr10:uid="{F0C8921B-A173-412F-AA10-52916F4FC40D}"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A1FE0B2-0106-461A-A3F4-296B73761486}"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ily_Sugar_Drinks" xr10:uid="{40A4DFFE-D80B-4FB9-A78A-2E2040FFF25E}" cache="Slicer_Daily_Sugar_Drinks" caption="Daily_Sugar_Drinks" rowHeight="234950"/>
  <slicer name="ScreenTime_Hours" xr10:uid="{D1646983-734C-45A2-B965-27D210CA3BA4}" cache="Slicer_ScreenTime_Hours" caption="ScreenTime_Hours" rowHeight="234950"/>
  <slicer name="Health_Status" xr10:uid="{B88966C5-8B75-4B4C-AF1C-C13F9B0614E1}" cache="Slicer_Health_Status" caption="Health_Status"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ily_Fruit_Servings" xr10:uid="{5AA9BAFA-C320-4235-9F64-875CE2019A0B}" cache="Slicer_Daily_Fruit_Servings" caption="Daily_Fruit_Servings"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4A46D92C-3439-4F07-8C67-BDBFBE1892D1}" cache="Slicer_Region" caption="Region" rowHeight="234950"/>
  <slicer name="Daily_Fruit_Servings 2" xr10:uid="{769DDAD2-1CAC-4DCA-93A8-3E4792192076}" cache="Slicer_Daily_Fruit_Servings" caption="Daily_Fruit_Servings" startItem="1" rowHeight="234950"/>
  <slicer name="Daily_Sugar_Drinks 1" xr10:uid="{86AFDF99-9DAA-49C4-8F94-180C55A748F0}" cache="Slicer_Daily_Sugar_Drinks" caption="Daily_Sugar_Drinks" rowHeight="234950"/>
  <slicer name="ScreenTime_Hours 1" xr10:uid="{1C6EFD26-F9A0-4175-B31F-5FBCD54899AC}" cache="Slicer_ScreenTime_Hours" caption="ScreenTime_Hours" rowHeight="234950"/>
  <slicer name="Health_Status 1" xr10:uid="{1E19C3CC-836B-4358-8026-827594929285}" cache="Slicer_Health_Status" caption="Health_Status" rowHeight="234950"/>
  <slicer name="Age_Months 1" xr10:uid="{337637C0-CEFE-4925-A102-F16AB19027F6}" cache="Slicer_Age_Months" caption="Age_Months" rowHeight="234950"/>
  <slicer name="Gender 1" xr10:uid="{DC615DDE-FF60-4A41-96CF-FEC9BF56050C}"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7081E-F3CF-4321-A7D2-30AF7550597F}">
  <dimension ref="A2:C6"/>
  <sheetViews>
    <sheetView workbookViewId="0">
      <selection activeCell="A3" sqref="A3:C8"/>
    </sheetView>
  </sheetViews>
  <sheetFormatPr defaultRowHeight="14.4" x14ac:dyDescent="0.3"/>
  <cols>
    <col min="1" max="1" width="12.5546875" bestFit="1" customWidth="1"/>
    <col min="2" max="2" width="21.6640625" bestFit="1" customWidth="1"/>
    <col min="3" max="3" width="14.88671875" bestFit="1" customWidth="1"/>
  </cols>
  <sheetData>
    <row r="2" spans="1:3" ht="11.4" customHeight="1" x14ac:dyDescent="0.3"/>
    <row r="3" spans="1:3" x14ac:dyDescent="0.3">
      <c r="A3" s="2" t="s">
        <v>61</v>
      </c>
      <c r="B3" t="s">
        <v>67</v>
      </c>
      <c r="C3" t="s">
        <v>68</v>
      </c>
    </row>
    <row r="4" spans="1:3" x14ac:dyDescent="0.3">
      <c r="A4" s="3" t="s">
        <v>64</v>
      </c>
      <c r="B4">
        <v>3</v>
      </c>
      <c r="C4">
        <v>1</v>
      </c>
    </row>
    <row r="5" spans="1:3" x14ac:dyDescent="0.3">
      <c r="A5" s="3" t="s">
        <v>65</v>
      </c>
      <c r="B5">
        <v>3</v>
      </c>
      <c r="C5">
        <v>2</v>
      </c>
    </row>
    <row r="6" spans="1:3" x14ac:dyDescent="0.3">
      <c r="A6" s="3" t="s">
        <v>63</v>
      </c>
      <c r="B6">
        <v>3</v>
      </c>
      <c r="C6">
        <v>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4A593-FFCE-4F5C-B7EF-24E9CB1A0A1A}">
  <dimension ref="A3:F9"/>
  <sheetViews>
    <sheetView workbookViewId="0">
      <selection activeCell="D17" sqref="D17"/>
    </sheetView>
  </sheetViews>
  <sheetFormatPr defaultRowHeight="14.4" x14ac:dyDescent="0.3"/>
  <cols>
    <col min="1" max="1" width="14.109375" bestFit="1" customWidth="1"/>
    <col min="2" max="2" width="15.5546875" bestFit="1" customWidth="1"/>
    <col min="3" max="7" width="12" bestFit="1" customWidth="1"/>
  </cols>
  <sheetData>
    <row r="3" spans="1:6" x14ac:dyDescent="0.3">
      <c r="A3" s="2" t="s">
        <v>70</v>
      </c>
      <c r="B3" s="2" t="s">
        <v>69</v>
      </c>
    </row>
    <row r="4" spans="1:6" x14ac:dyDescent="0.3">
      <c r="A4" s="2" t="s">
        <v>61</v>
      </c>
      <c r="B4">
        <v>1</v>
      </c>
      <c r="C4">
        <v>2</v>
      </c>
      <c r="D4">
        <v>3</v>
      </c>
      <c r="E4">
        <v>4</v>
      </c>
      <c r="F4" t="s">
        <v>63</v>
      </c>
    </row>
    <row r="5" spans="1:6" x14ac:dyDescent="0.3">
      <c r="A5" s="3">
        <v>1</v>
      </c>
      <c r="B5" s="8">
        <v>16.411348608910586</v>
      </c>
      <c r="C5" s="8"/>
      <c r="D5" s="8">
        <v>17.059205462973896</v>
      </c>
      <c r="E5" s="8"/>
      <c r="F5" s="8">
        <v>16.735277035942239</v>
      </c>
    </row>
    <row r="6" spans="1:6" x14ac:dyDescent="0.3">
      <c r="A6" s="3">
        <v>2</v>
      </c>
      <c r="B6" s="8"/>
      <c r="C6" s="8">
        <v>619.6778155615483</v>
      </c>
      <c r="D6" s="8"/>
      <c r="E6" s="8">
        <v>686.41975308641975</v>
      </c>
      <c r="F6" s="8">
        <v>641.92512806983871</v>
      </c>
    </row>
    <row r="7" spans="1:6" x14ac:dyDescent="0.3">
      <c r="A7" s="3">
        <v>3</v>
      </c>
      <c r="B7" s="8"/>
      <c r="C7" s="8">
        <v>1013.3506838670743</v>
      </c>
      <c r="D7" s="8">
        <v>19.185127564907393</v>
      </c>
      <c r="E7" s="8">
        <v>15.839176320537135</v>
      </c>
      <c r="F7" s="8">
        <v>349.4583292508396</v>
      </c>
    </row>
    <row r="8" spans="1:6" x14ac:dyDescent="0.3">
      <c r="A8" s="3">
        <v>4</v>
      </c>
      <c r="B8" s="8">
        <v>784.13634755984822</v>
      </c>
      <c r="C8" s="8">
        <v>579.99307806809895</v>
      </c>
      <c r="D8" s="8">
        <v>14.190800401461026</v>
      </c>
      <c r="E8" s="8"/>
      <c r="F8" s="8">
        <v>553.74045495424241</v>
      </c>
    </row>
    <row r="9" spans="1:6" x14ac:dyDescent="0.3">
      <c r="A9" s="3" t="s">
        <v>63</v>
      </c>
      <c r="B9" s="8">
        <v>528.22801457620233</v>
      </c>
      <c r="C9" s="8">
        <v>665.44759153241137</v>
      </c>
      <c r="D9" s="8">
        <v>16.811711143114106</v>
      </c>
      <c r="E9" s="8">
        <v>351.12946470347845</v>
      </c>
      <c r="F9" s="8">
        <v>452.14740398281236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010E6-89F2-4CC6-9F6F-C6AA9BE4FA9D}">
  <dimension ref="A3:C8"/>
  <sheetViews>
    <sheetView workbookViewId="0">
      <selection activeCell="H16" sqref="H16"/>
    </sheetView>
  </sheetViews>
  <sheetFormatPr defaultRowHeight="14.4" x14ac:dyDescent="0.3"/>
  <cols>
    <col min="1" max="1" width="13.5546875" bestFit="1" customWidth="1"/>
    <col min="2" max="2" width="27.109375" bestFit="1" customWidth="1"/>
    <col min="3" max="3" width="26.6640625" bestFit="1" customWidth="1"/>
  </cols>
  <sheetData>
    <row r="3" spans="1:3" x14ac:dyDescent="0.3">
      <c r="A3" s="2" t="s">
        <v>61</v>
      </c>
      <c r="B3" t="s">
        <v>71</v>
      </c>
      <c r="C3" t="s">
        <v>72</v>
      </c>
    </row>
    <row r="4" spans="1:3" x14ac:dyDescent="0.3">
      <c r="A4" s="3" t="s">
        <v>66</v>
      </c>
      <c r="B4">
        <v>2</v>
      </c>
      <c r="C4">
        <v>1.44</v>
      </c>
    </row>
    <row r="5" spans="1:3" x14ac:dyDescent="0.3">
      <c r="A5" s="3" t="s">
        <v>64</v>
      </c>
      <c r="B5">
        <v>1.875</v>
      </c>
      <c r="C5">
        <v>1.666666666666667</v>
      </c>
    </row>
    <row r="6" spans="1:3" x14ac:dyDescent="0.3">
      <c r="A6" s="3" t="s">
        <v>65</v>
      </c>
      <c r="B6">
        <v>2.1764705882352939</v>
      </c>
      <c r="C6">
        <v>1.5235294117647058</v>
      </c>
    </row>
    <row r="7" spans="1:3" x14ac:dyDescent="0.3">
      <c r="A7" s="3" t="s">
        <v>62</v>
      </c>
    </row>
    <row r="8" spans="1:3" x14ac:dyDescent="0.3">
      <c r="A8" s="3" t="s">
        <v>63</v>
      </c>
      <c r="B8">
        <v>2</v>
      </c>
      <c r="C8">
        <v>1.5891304347826092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C4B88-1126-43CD-9765-3AD6FA649C9F}">
  <dimension ref="A3:C8"/>
  <sheetViews>
    <sheetView workbookViewId="0">
      <selection activeCell="C32" sqref="C32"/>
    </sheetView>
  </sheetViews>
  <sheetFormatPr defaultRowHeight="14.4" x14ac:dyDescent="0.3"/>
  <cols>
    <col min="1" max="1" width="12.5546875" bestFit="1" customWidth="1"/>
    <col min="2" max="2" width="14.109375" bestFit="1" customWidth="1"/>
    <col min="3" max="3" width="27.88671875" bestFit="1" customWidth="1"/>
  </cols>
  <sheetData>
    <row r="3" spans="1:3" x14ac:dyDescent="0.3">
      <c r="A3" s="2" t="s">
        <v>61</v>
      </c>
      <c r="B3" t="s">
        <v>70</v>
      </c>
      <c r="C3" t="s">
        <v>73</v>
      </c>
    </row>
    <row r="4" spans="1:3" x14ac:dyDescent="0.3">
      <c r="A4" s="3" t="s">
        <v>11</v>
      </c>
      <c r="B4" s="8">
        <v>553.74045495424241</v>
      </c>
      <c r="C4" s="8">
        <v>4</v>
      </c>
    </row>
    <row r="5" spans="1:3" x14ac:dyDescent="0.3">
      <c r="A5" s="3" t="s">
        <v>13</v>
      </c>
      <c r="B5" s="8">
        <v>17.507908753358464</v>
      </c>
      <c r="C5" s="8">
        <v>4</v>
      </c>
    </row>
    <row r="6" spans="1:3" x14ac:dyDescent="0.3">
      <c r="A6" s="3" t="s">
        <v>10</v>
      </c>
      <c r="B6" s="8">
        <v>936.08593434060685</v>
      </c>
      <c r="C6" s="8">
        <v>4</v>
      </c>
    </row>
    <row r="7" spans="1:3" x14ac:dyDescent="0.3">
      <c r="A7" s="3" t="s">
        <v>15</v>
      </c>
      <c r="B7" s="8">
        <v>19.570875087215928</v>
      </c>
      <c r="C7" s="8">
        <v>4</v>
      </c>
    </row>
    <row r="8" spans="1:3" x14ac:dyDescent="0.3">
      <c r="A8" s="3" t="s">
        <v>63</v>
      </c>
      <c r="B8" s="8">
        <v>477.09259847923545</v>
      </c>
      <c r="C8" s="8">
        <v>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EB6A9-3737-4B84-8839-E4F9F7E98FE2}">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C576-CFA5-4212-A14F-65B1488F120D}">
  <dimension ref="A1"/>
  <sheetViews>
    <sheetView tabSelected="1" topLeftCell="B1" workbookViewId="0">
      <selection activeCell="Y7" sqref="Y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84ED6-D233-474E-91EE-56910408E169}">
  <dimension ref="A1:O47"/>
  <sheetViews>
    <sheetView workbookViewId="0">
      <selection activeCell="M13" sqref="M13"/>
    </sheetView>
  </sheetViews>
  <sheetFormatPr defaultRowHeight="14.4" x14ac:dyDescent="0.3"/>
  <cols>
    <col min="1" max="1" width="8.77734375" customWidth="1"/>
    <col min="2" max="2" width="11.77734375" bestFit="1" customWidth="1"/>
    <col min="3" max="3" width="7.109375" bestFit="1" customWidth="1"/>
    <col min="4" max="5" width="10" bestFit="1" customWidth="1"/>
    <col min="6" max="6" width="18.109375" bestFit="1" customWidth="1"/>
    <col min="7" max="7" width="20" bestFit="1" customWidth="1"/>
    <col min="8" max="8" width="17.33203125" bestFit="1" customWidth="1"/>
    <col min="9" max="9" width="16.77734375" bestFit="1" customWidth="1"/>
    <col min="10" max="10" width="6.88671875" bestFit="1" customWidth="1"/>
    <col min="11" max="11" width="8.88671875" style="1"/>
    <col min="12" max="12" width="14.109375" customWidth="1"/>
    <col min="13" max="13" width="23.33203125" customWidth="1"/>
  </cols>
  <sheetData>
    <row r="1" spans="1:15" x14ac:dyDescent="0.3">
      <c r="A1" s="4" t="s">
        <v>74</v>
      </c>
      <c r="B1" s="4" t="s">
        <v>0</v>
      </c>
      <c r="C1" s="4" t="s">
        <v>1</v>
      </c>
      <c r="D1" s="4" t="s">
        <v>2</v>
      </c>
      <c r="E1" s="4" t="s">
        <v>3</v>
      </c>
      <c r="F1" s="4" t="s">
        <v>4</v>
      </c>
      <c r="G1" s="4" t="s">
        <v>5</v>
      </c>
      <c r="H1" s="4" t="s">
        <v>6</v>
      </c>
      <c r="I1" s="4" t="s">
        <v>7</v>
      </c>
      <c r="J1" s="4" t="s">
        <v>8</v>
      </c>
      <c r="K1" s="5" t="s">
        <v>59</v>
      </c>
      <c r="L1" s="4" t="s">
        <v>60</v>
      </c>
    </row>
    <row r="2" spans="1:15" x14ac:dyDescent="0.3">
      <c r="A2" s="6" t="s">
        <v>16</v>
      </c>
      <c r="B2" s="6">
        <v>47</v>
      </c>
      <c r="C2" s="6" t="s">
        <v>9</v>
      </c>
      <c r="D2" s="6">
        <v>14.41</v>
      </c>
      <c r="E2" s="6">
        <v>17.34</v>
      </c>
      <c r="F2" s="6">
        <v>1</v>
      </c>
      <c r="G2" s="6">
        <v>2</v>
      </c>
      <c r="H2" s="6">
        <v>3</v>
      </c>
      <c r="I2" s="6">
        <v>1.2</v>
      </c>
      <c r="J2" s="6" t="s">
        <v>10</v>
      </c>
      <c r="K2" s="7">
        <f t="shared" ref="K2:K47" si="0">E2/((D2/100)^2)</f>
        <v>835.06663436843382</v>
      </c>
      <c r="L2" s="6" t="str">
        <f t="shared" ref="L2:L47" si="1">IF(K2&lt;18.5,"Underweight",IF(K2&lt;=24.9,"Healthy Weight",IF(K2&lt;=29.9,"Overweight","Obese")))</f>
        <v>Obese</v>
      </c>
    </row>
    <row r="3" spans="1:15" x14ac:dyDescent="0.3">
      <c r="A3" s="6" t="s">
        <v>17</v>
      </c>
      <c r="B3" s="6">
        <v>35</v>
      </c>
      <c r="C3" s="6" t="s">
        <v>9</v>
      </c>
      <c r="D3" s="6">
        <v>94.96</v>
      </c>
      <c r="E3" s="6">
        <v>17.3</v>
      </c>
      <c r="F3" s="6">
        <v>3</v>
      </c>
      <c r="G3" s="6">
        <v>3</v>
      </c>
      <c r="H3" s="6">
        <v>2</v>
      </c>
      <c r="I3" s="6">
        <v>0.6</v>
      </c>
      <c r="J3" s="6" t="s">
        <v>11</v>
      </c>
      <c r="K3" s="7">
        <f t="shared" si="0"/>
        <v>19.185127564907393</v>
      </c>
      <c r="L3" s="6" t="str">
        <f t="shared" si="1"/>
        <v>Healthy Weight</v>
      </c>
    </row>
    <row r="4" spans="1:15" x14ac:dyDescent="0.3">
      <c r="A4" s="6" t="s">
        <v>20</v>
      </c>
      <c r="B4" s="6">
        <v>52</v>
      </c>
      <c r="C4" s="6" t="s">
        <v>9</v>
      </c>
      <c r="D4" s="6">
        <v>12.65</v>
      </c>
      <c r="E4" s="6">
        <v>19.55</v>
      </c>
      <c r="F4" s="6">
        <v>2</v>
      </c>
      <c r="G4" s="6">
        <v>2</v>
      </c>
      <c r="H4" s="6">
        <v>1</v>
      </c>
      <c r="I4" s="6">
        <v>1.3</v>
      </c>
      <c r="J4" s="6" t="s">
        <v>11</v>
      </c>
      <c r="K4" s="7">
        <f t="shared" si="0"/>
        <v>1221.7031979877831</v>
      </c>
      <c r="L4" s="6" t="str">
        <f t="shared" si="1"/>
        <v>Obese</v>
      </c>
      <c r="N4" t="s">
        <v>76</v>
      </c>
      <c r="O4">
        <f>COUNTA(A:A)</f>
        <v>47</v>
      </c>
    </row>
    <row r="5" spans="1:15" x14ac:dyDescent="0.3">
      <c r="A5" s="6" t="s">
        <v>21</v>
      </c>
      <c r="B5" s="6">
        <v>28</v>
      </c>
      <c r="C5" s="6" t="s">
        <v>12</v>
      </c>
      <c r="D5" s="6">
        <v>91.47</v>
      </c>
      <c r="E5" s="6">
        <v>16.39</v>
      </c>
      <c r="F5" s="6">
        <v>3</v>
      </c>
      <c r="G5" s="6">
        <v>2</v>
      </c>
      <c r="H5" s="6">
        <v>3</v>
      </c>
      <c r="I5" s="6">
        <v>0.8</v>
      </c>
      <c r="J5" s="6" t="s">
        <v>14</v>
      </c>
      <c r="K5" s="7">
        <f t="shared" si="0"/>
        <v>19.589420799631078</v>
      </c>
      <c r="L5" s="6" t="str">
        <f t="shared" si="1"/>
        <v>Healthy Weight</v>
      </c>
    </row>
    <row r="6" spans="1:15" x14ac:dyDescent="0.3">
      <c r="A6" s="6" t="s">
        <v>22</v>
      </c>
      <c r="B6" s="6">
        <v>25</v>
      </c>
      <c r="C6" s="6" t="s">
        <v>12</v>
      </c>
      <c r="D6" s="6">
        <v>92.58</v>
      </c>
      <c r="E6" s="6">
        <v>15.13</v>
      </c>
      <c r="F6" s="6">
        <v>2</v>
      </c>
      <c r="G6" s="6">
        <v>2</v>
      </c>
      <c r="H6" s="6">
        <v>2</v>
      </c>
      <c r="I6" s="6">
        <v>1.6</v>
      </c>
      <c r="J6" s="6" t="s">
        <v>11</v>
      </c>
      <c r="K6" s="7">
        <f t="shared" si="0"/>
        <v>17.652433135313405</v>
      </c>
      <c r="L6" s="6" t="str">
        <f t="shared" si="1"/>
        <v>Underweight</v>
      </c>
      <c r="N6" t="s">
        <v>9</v>
      </c>
      <c r="O6">
        <f>COUNTIF(C:C,"Female")</f>
        <v>26</v>
      </c>
    </row>
    <row r="7" spans="1:15" x14ac:dyDescent="0.3">
      <c r="A7" s="6" t="s">
        <v>23</v>
      </c>
      <c r="B7" s="6">
        <v>38</v>
      </c>
      <c r="C7" s="6" t="s">
        <v>12</v>
      </c>
      <c r="D7" s="6">
        <v>99.65</v>
      </c>
      <c r="E7" s="6">
        <v>16.940000000000001</v>
      </c>
      <c r="F7" s="6">
        <v>1</v>
      </c>
      <c r="G7" s="6">
        <v>3</v>
      </c>
      <c r="H7" s="6">
        <v>3</v>
      </c>
      <c r="I7" s="6">
        <v>2.1</v>
      </c>
      <c r="J7" s="6" t="s">
        <v>11</v>
      </c>
      <c r="K7" s="7">
        <f t="shared" si="0"/>
        <v>17.059205462973896</v>
      </c>
      <c r="L7" s="6" t="str">
        <f t="shared" si="1"/>
        <v>Underweight</v>
      </c>
      <c r="N7" t="s">
        <v>12</v>
      </c>
      <c r="O7">
        <f>COUNTIF(C:C,"Male")</f>
        <v>20</v>
      </c>
    </row>
    <row r="8" spans="1:15" x14ac:dyDescent="0.3">
      <c r="A8" s="6" t="s">
        <v>24</v>
      </c>
      <c r="B8" s="6">
        <v>25</v>
      </c>
      <c r="C8" s="6" t="s">
        <v>9</v>
      </c>
      <c r="D8" s="6">
        <v>96.42</v>
      </c>
      <c r="E8" s="6">
        <v>14.69</v>
      </c>
      <c r="F8" s="6">
        <v>1</v>
      </c>
      <c r="G8" s="6">
        <v>3</v>
      </c>
      <c r="H8" s="6">
        <v>2</v>
      </c>
      <c r="I8" s="6">
        <v>1.2</v>
      </c>
      <c r="J8" s="6" t="s">
        <v>14</v>
      </c>
      <c r="K8" s="7">
        <f t="shared" si="0"/>
        <v>15.801108000799067</v>
      </c>
      <c r="L8" s="6" t="str">
        <f t="shared" si="1"/>
        <v>Underweight</v>
      </c>
    </row>
    <row r="9" spans="1:15" x14ac:dyDescent="0.3">
      <c r="A9" s="6" t="s">
        <v>25</v>
      </c>
      <c r="B9" s="6">
        <v>57</v>
      </c>
      <c r="C9" s="6" t="s">
        <v>9</v>
      </c>
      <c r="D9" s="6">
        <v>19.260000000000002</v>
      </c>
      <c r="E9" s="6">
        <v>2.61</v>
      </c>
      <c r="F9" s="6">
        <v>3</v>
      </c>
      <c r="G9" s="6">
        <v>2</v>
      </c>
      <c r="H9" s="6">
        <v>1</v>
      </c>
      <c r="I9" s="6">
        <v>2</v>
      </c>
      <c r="J9" s="6" t="s">
        <v>13</v>
      </c>
      <c r="K9" s="7">
        <f t="shared" si="0"/>
        <v>70.360341999786471</v>
      </c>
      <c r="L9" s="6" t="str">
        <f t="shared" si="1"/>
        <v>Obese</v>
      </c>
    </row>
    <row r="10" spans="1:15" x14ac:dyDescent="0.3">
      <c r="A10" s="6" t="s">
        <v>26</v>
      </c>
      <c r="B10" s="6">
        <v>35</v>
      </c>
      <c r="C10" s="6" t="s">
        <v>9</v>
      </c>
      <c r="D10" s="6">
        <v>11.2</v>
      </c>
      <c r="E10" s="6">
        <v>16.760000000000002</v>
      </c>
      <c r="F10" s="6">
        <v>3</v>
      </c>
      <c r="G10" s="6">
        <v>2</v>
      </c>
      <c r="H10" s="6">
        <v>2</v>
      </c>
      <c r="I10" s="6">
        <v>1.9</v>
      </c>
      <c r="J10" s="6" t="s">
        <v>10</v>
      </c>
      <c r="K10" s="7">
        <f t="shared" si="0"/>
        <v>1336.0969387755106</v>
      </c>
      <c r="L10" s="6" t="str">
        <f t="shared" si="1"/>
        <v>Obese</v>
      </c>
    </row>
    <row r="11" spans="1:15" x14ac:dyDescent="0.3">
      <c r="A11" s="6" t="s">
        <v>27</v>
      </c>
      <c r="B11" s="6">
        <v>56</v>
      </c>
      <c r="C11" s="6" t="s">
        <v>12</v>
      </c>
      <c r="D11" s="6">
        <v>111.44</v>
      </c>
      <c r="E11" s="6">
        <v>21.87</v>
      </c>
      <c r="F11" s="6">
        <v>4</v>
      </c>
      <c r="G11" s="6">
        <v>1</v>
      </c>
      <c r="H11" s="6">
        <v>2</v>
      </c>
      <c r="I11" s="6">
        <v>1.9</v>
      </c>
      <c r="J11" s="6" t="s">
        <v>13</v>
      </c>
      <c r="K11" s="7">
        <f t="shared" si="0"/>
        <v>17.610292772445963</v>
      </c>
      <c r="L11" s="6" t="str">
        <f t="shared" si="1"/>
        <v>Underweight</v>
      </c>
    </row>
    <row r="12" spans="1:15" x14ac:dyDescent="0.3">
      <c r="A12" s="6" t="s">
        <v>28</v>
      </c>
      <c r="B12" s="6">
        <v>46</v>
      </c>
      <c r="C12" s="6" t="s">
        <v>12</v>
      </c>
      <c r="D12" s="6">
        <v>13.85</v>
      </c>
      <c r="E12" s="6">
        <v>19.47</v>
      </c>
      <c r="F12" s="6">
        <v>2</v>
      </c>
      <c r="G12" s="6">
        <v>4</v>
      </c>
      <c r="H12" s="6">
        <v>3</v>
      </c>
      <c r="I12" s="6">
        <v>2.9</v>
      </c>
      <c r="J12" s="6" t="s">
        <v>13</v>
      </c>
      <c r="K12" s="7">
        <f t="shared" si="0"/>
        <v>1015.0008471373277</v>
      </c>
      <c r="L12" s="6" t="str">
        <f t="shared" si="1"/>
        <v>Obese</v>
      </c>
    </row>
    <row r="13" spans="1:15" x14ac:dyDescent="0.3">
      <c r="A13" s="6" t="s">
        <v>29</v>
      </c>
      <c r="B13" s="6">
        <v>35</v>
      </c>
      <c r="C13" s="6" t="s">
        <v>9</v>
      </c>
      <c r="D13" s="6">
        <v>12.67</v>
      </c>
      <c r="E13" s="6">
        <v>13.79</v>
      </c>
      <c r="F13" s="6">
        <v>4</v>
      </c>
      <c r="G13" s="6">
        <v>1</v>
      </c>
      <c r="H13" s="6">
        <v>1</v>
      </c>
      <c r="I13" s="6">
        <v>2</v>
      </c>
      <c r="J13" s="6" t="s">
        <v>11</v>
      </c>
      <c r="K13" s="7">
        <f t="shared" si="0"/>
        <v>859.03535126696806</v>
      </c>
      <c r="L13" s="6" t="str">
        <f t="shared" si="1"/>
        <v>Obese</v>
      </c>
    </row>
    <row r="14" spans="1:15" x14ac:dyDescent="0.3">
      <c r="A14" s="6" t="s">
        <v>30</v>
      </c>
      <c r="B14" s="6">
        <v>3</v>
      </c>
      <c r="C14" s="6" t="s">
        <v>9</v>
      </c>
      <c r="D14" s="6">
        <v>96.67</v>
      </c>
      <c r="E14" s="6">
        <v>15.72</v>
      </c>
      <c r="F14" s="6">
        <v>3</v>
      </c>
      <c r="G14" s="6">
        <v>1</v>
      </c>
      <c r="H14" s="6">
        <v>2</v>
      </c>
      <c r="I14" s="6">
        <v>1.2</v>
      </c>
      <c r="J14" s="6" t="s">
        <v>14</v>
      </c>
      <c r="K14" s="7">
        <f t="shared" si="0"/>
        <v>16.821669829165565</v>
      </c>
      <c r="L14" s="6" t="str">
        <f t="shared" si="1"/>
        <v>Underweight</v>
      </c>
    </row>
    <row r="15" spans="1:15" x14ac:dyDescent="0.3">
      <c r="A15" s="6" t="s">
        <v>31</v>
      </c>
      <c r="B15" s="6">
        <v>32</v>
      </c>
      <c r="C15" s="6" t="s">
        <v>9</v>
      </c>
      <c r="D15" s="6">
        <v>12.28</v>
      </c>
      <c r="E15" s="6">
        <v>11.75</v>
      </c>
      <c r="F15" s="6">
        <v>2</v>
      </c>
      <c r="G15" s="6">
        <v>1</v>
      </c>
      <c r="H15" s="6">
        <v>1</v>
      </c>
      <c r="I15" s="6">
        <v>1.3</v>
      </c>
      <c r="J15" s="6" t="s">
        <v>13</v>
      </c>
      <c r="K15" s="7">
        <f t="shared" si="0"/>
        <v>779.18598605820762</v>
      </c>
      <c r="L15" s="6" t="str">
        <f t="shared" si="1"/>
        <v>Obese</v>
      </c>
    </row>
    <row r="16" spans="1:15" x14ac:dyDescent="0.3">
      <c r="A16" s="6" t="s">
        <v>32</v>
      </c>
      <c r="B16" s="6">
        <v>46</v>
      </c>
      <c r="C16" s="6" t="s">
        <v>12</v>
      </c>
      <c r="D16" s="6">
        <v>15.6</v>
      </c>
      <c r="E16" s="6">
        <v>17.260000000000002</v>
      </c>
      <c r="F16" s="6">
        <v>4</v>
      </c>
      <c r="G16" s="6">
        <v>1</v>
      </c>
      <c r="H16" s="6">
        <v>2</v>
      </c>
      <c r="I16" s="6">
        <v>0.8</v>
      </c>
      <c r="J16" s="6" t="s">
        <v>11</v>
      </c>
      <c r="K16" s="7">
        <f t="shared" si="0"/>
        <v>709.23734385272849</v>
      </c>
      <c r="L16" s="6" t="str">
        <f t="shared" si="1"/>
        <v>Obese</v>
      </c>
    </row>
    <row r="17" spans="1:12" x14ac:dyDescent="0.3">
      <c r="A17" s="6" t="s">
        <v>75</v>
      </c>
      <c r="B17" s="6">
        <v>43</v>
      </c>
      <c r="C17" s="6" t="s">
        <v>12</v>
      </c>
      <c r="D17" s="6">
        <v>13.22</v>
      </c>
      <c r="E17" s="6">
        <v>2.74</v>
      </c>
      <c r="F17" s="6">
        <v>2</v>
      </c>
      <c r="G17" s="6">
        <v>2</v>
      </c>
      <c r="H17" s="6">
        <v>3</v>
      </c>
      <c r="I17" s="6">
        <v>2.1</v>
      </c>
      <c r="J17" s="6" t="s">
        <v>10</v>
      </c>
      <c r="K17" s="7">
        <f t="shared" si="0"/>
        <v>156.77891426596568</v>
      </c>
      <c r="L17" s="6" t="str">
        <f t="shared" si="1"/>
        <v>Obese</v>
      </c>
    </row>
    <row r="18" spans="1:12" x14ac:dyDescent="0.3">
      <c r="A18" s="6" t="s">
        <v>33</v>
      </c>
      <c r="B18" s="6">
        <v>32</v>
      </c>
      <c r="C18" s="6" t="s">
        <v>12</v>
      </c>
      <c r="D18" s="6">
        <v>97.29</v>
      </c>
      <c r="E18" s="6">
        <v>12.89</v>
      </c>
      <c r="F18" s="6">
        <v>4</v>
      </c>
      <c r="G18" s="6">
        <v>2</v>
      </c>
      <c r="H18" s="6">
        <v>2</v>
      </c>
      <c r="I18" s="6">
        <v>1.3</v>
      </c>
      <c r="J18" s="6" t="s">
        <v>11</v>
      </c>
      <c r="K18" s="7">
        <f t="shared" si="0"/>
        <v>13.618099737124188</v>
      </c>
      <c r="L18" s="6" t="str">
        <f t="shared" si="1"/>
        <v>Underweight</v>
      </c>
    </row>
    <row r="19" spans="1:12" x14ac:dyDescent="0.3">
      <c r="A19" s="6" t="s">
        <v>34</v>
      </c>
      <c r="B19" s="6">
        <v>3</v>
      </c>
      <c r="C19" s="6" t="s">
        <v>9</v>
      </c>
      <c r="D19" s="6">
        <v>93.15</v>
      </c>
      <c r="E19" s="6">
        <v>14.24</v>
      </c>
      <c r="F19" s="6">
        <v>1</v>
      </c>
      <c r="G19" s="6">
        <v>1</v>
      </c>
      <c r="H19" s="6">
        <v>2</v>
      </c>
      <c r="I19" s="6">
        <v>1.3</v>
      </c>
      <c r="J19" s="6" t="s">
        <v>11</v>
      </c>
      <c r="K19" s="7">
        <f t="shared" si="0"/>
        <v>16.411348608910586</v>
      </c>
      <c r="L19" s="6" t="str">
        <f t="shared" si="1"/>
        <v>Underweight</v>
      </c>
    </row>
    <row r="20" spans="1:12" x14ac:dyDescent="0.3">
      <c r="A20" s="6" t="s">
        <v>35</v>
      </c>
      <c r="B20" s="6">
        <v>31</v>
      </c>
      <c r="C20" s="6" t="s">
        <v>9</v>
      </c>
      <c r="D20" s="6">
        <v>96.26</v>
      </c>
      <c r="E20" s="6">
        <v>17.63</v>
      </c>
      <c r="F20" s="6">
        <v>3</v>
      </c>
      <c r="G20" s="6">
        <v>3</v>
      </c>
      <c r="H20" s="6">
        <v>2</v>
      </c>
      <c r="I20" s="6">
        <v>1.7</v>
      </c>
      <c r="J20" s="6" t="s">
        <v>13</v>
      </c>
      <c r="K20" s="7">
        <f t="shared" si="0"/>
        <v>19.026574134418222</v>
      </c>
      <c r="L20" s="6" t="str">
        <f t="shared" si="1"/>
        <v>Healthy Weight</v>
      </c>
    </row>
    <row r="21" spans="1:12" x14ac:dyDescent="0.3">
      <c r="A21" s="6" t="s">
        <v>36</v>
      </c>
      <c r="B21" s="6">
        <v>28</v>
      </c>
      <c r="C21" s="6" t="s">
        <v>12</v>
      </c>
      <c r="D21" s="6">
        <v>97.25</v>
      </c>
      <c r="E21" s="6">
        <v>14.98</v>
      </c>
      <c r="F21" s="6">
        <v>3</v>
      </c>
      <c r="G21" s="6">
        <v>4</v>
      </c>
      <c r="H21" s="6">
        <v>3</v>
      </c>
      <c r="I21" s="6">
        <v>3.2</v>
      </c>
      <c r="J21" s="6" t="s">
        <v>11</v>
      </c>
      <c r="K21" s="7">
        <f t="shared" si="0"/>
        <v>15.839176320537135</v>
      </c>
      <c r="L21" s="6" t="str">
        <f t="shared" si="1"/>
        <v>Underweight</v>
      </c>
    </row>
    <row r="22" spans="1:12" x14ac:dyDescent="0.3">
      <c r="A22" s="6" t="s">
        <v>37</v>
      </c>
      <c r="B22" s="6">
        <v>34</v>
      </c>
      <c r="C22" s="6" t="s">
        <v>12</v>
      </c>
      <c r="D22" s="6">
        <v>99.12</v>
      </c>
      <c r="E22" s="6">
        <v>17.43</v>
      </c>
      <c r="F22" s="6">
        <v>3</v>
      </c>
      <c r="G22" s="6">
        <v>4</v>
      </c>
      <c r="H22" s="6">
        <v>3</v>
      </c>
      <c r="I22" s="6">
        <v>1.6</v>
      </c>
      <c r="J22" s="6" t="s">
        <v>10</v>
      </c>
      <c r="K22" s="7">
        <f t="shared" si="0"/>
        <v>17.740865378038603</v>
      </c>
      <c r="L22" s="6" t="str">
        <f t="shared" si="1"/>
        <v>Underweight</v>
      </c>
    </row>
    <row r="23" spans="1:12" x14ac:dyDescent="0.3">
      <c r="A23" s="6" t="s">
        <v>38</v>
      </c>
      <c r="B23" s="6">
        <v>42</v>
      </c>
      <c r="C23" s="6" t="s">
        <v>9</v>
      </c>
      <c r="D23" s="6">
        <v>18.71</v>
      </c>
      <c r="E23" s="6">
        <v>16.2</v>
      </c>
      <c r="F23" s="6">
        <v>2</v>
      </c>
      <c r="G23" s="6">
        <v>1</v>
      </c>
      <c r="H23" s="6">
        <v>3</v>
      </c>
      <c r="I23" s="6">
        <v>1.1000000000000001</v>
      </c>
      <c r="J23" s="6" t="s">
        <v>14</v>
      </c>
      <c r="K23" s="7">
        <f t="shared" si="0"/>
        <v>462.77238939954128</v>
      </c>
      <c r="L23" s="6" t="str">
        <f t="shared" si="1"/>
        <v>Obese</v>
      </c>
    </row>
    <row r="24" spans="1:12" x14ac:dyDescent="0.3">
      <c r="A24" s="6" t="s">
        <v>18</v>
      </c>
      <c r="B24" s="6">
        <v>36</v>
      </c>
      <c r="C24" s="6" t="s">
        <v>9</v>
      </c>
      <c r="D24" s="6">
        <v>97.21</v>
      </c>
      <c r="E24" s="6">
        <v>13.41</v>
      </c>
      <c r="F24" s="6">
        <v>4</v>
      </c>
      <c r="G24" s="6">
        <v>3</v>
      </c>
      <c r="H24" s="6">
        <v>1</v>
      </c>
      <c r="I24" s="6">
        <v>0.9</v>
      </c>
      <c r="J24" s="6" t="s">
        <v>11</v>
      </c>
      <c r="K24" s="7">
        <f t="shared" si="0"/>
        <v>14.190800401461026</v>
      </c>
      <c r="L24" s="6" t="str">
        <f t="shared" si="1"/>
        <v>Underweight</v>
      </c>
    </row>
    <row r="25" spans="1:12" x14ac:dyDescent="0.3">
      <c r="A25" s="6" t="s">
        <v>39</v>
      </c>
      <c r="B25" s="6">
        <v>34</v>
      </c>
      <c r="C25" s="6" t="s">
        <v>9</v>
      </c>
      <c r="D25" s="6">
        <v>98.46</v>
      </c>
      <c r="E25" s="6">
        <v>15.38</v>
      </c>
      <c r="F25" s="6">
        <v>3</v>
      </c>
      <c r="G25" s="6">
        <v>2</v>
      </c>
      <c r="H25" s="6">
        <v>2</v>
      </c>
      <c r="I25" s="6">
        <v>1.2</v>
      </c>
      <c r="J25" s="6" t="s">
        <v>10</v>
      </c>
      <c r="K25" s="7">
        <f t="shared" si="0"/>
        <v>15.864875656303504</v>
      </c>
      <c r="L25" s="6" t="str">
        <f t="shared" si="1"/>
        <v>Underweight</v>
      </c>
    </row>
    <row r="26" spans="1:12" x14ac:dyDescent="0.3">
      <c r="A26" s="6" t="s">
        <v>40</v>
      </c>
      <c r="B26" s="6">
        <v>39</v>
      </c>
      <c r="C26" s="6" t="s">
        <v>9</v>
      </c>
      <c r="D26" s="6">
        <v>96.54</v>
      </c>
      <c r="E26" s="6">
        <v>18.239999999999998</v>
      </c>
      <c r="F26" s="6">
        <v>4</v>
      </c>
      <c r="G26" s="6">
        <v>3</v>
      </c>
      <c r="H26" s="6">
        <v>1</v>
      </c>
      <c r="I26" s="6">
        <v>1.9</v>
      </c>
      <c r="J26" s="6" t="s">
        <v>15</v>
      </c>
      <c r="K26" s="7">
        <f t="shared" si="0"/>
        <v>19.570875087215928</v>
      </c>
      <c r="L26" s="6" t="str">
        <f t="shared" si="1"/>
        <v>Healthy Weight</v>
      </c>
    </row>
    <row r="27" spans="1:12" x14ac:dyDescent="0.3">
      <c r="A27" s="6" t="s">
        <v>41</v>
      </c>
      <c r="B27" s="6">
        <v>31</v>
      </c>
      <c r="C27" s="6" t="s">
        <v>9</v>
      </c>
      <c r="D27" s="6">
        <v>96.28</v>
      </c>
      <c r="E27" s="6">
        <v>16.84</v>
      </c>
      <c r="F27" s="6">
        <v>4</v>
      </c>
      <c r="G27" s="6">
        <v>2</v>
      </c>
      <c r="H27" s="6">
        <v>3</v>
      </c>
      <c r="I27" s="6">
        <v>0.5</v>
      </c>
      <c r="J27" s="6" t="s">
        <v>13</v>
      </c>
      <c r="K27" s="7">
        <f t="shared" si="0"/>
        <v>18.166443980296357</v>
      </c>
      <c r="L27" s="6" t="str">
        <f t="shared" si="1"/>
        <v>Underweight</v>
      </c>
    </row>
    <row r="28" spans="1:12" x14ac:dyDescent="0.3">
      <c r="A28" s="6" t="s">
        <v>42</v>
      </c>
      <c r="B28" s="6">
        <v>44</v>
      </c>
      <c r="C28" s="6" t="s">
        <v>9</v>
      </c>
      <c r="D28" s="6">
        <v>14.76</v>
      </c>
      <c r="E28" s="6">
        <v>18.399999999999999</v>
      </c>
      <c r="F28" s="6">
        <v>4</v>
      </c>
      <c r="G28" s="6">
        <v>2</v>
      </c>
      <c r="H28" s="6">
        <v>1</v>
      </c>
      <c r="I28" s="6">
        <v>0.7</v>
      </c>
      <c r="J28" s="6" t="s">
        <v>10</v>
      </c>
      <c r="K28" s="7">
        <f t="shared" si="0"/>
        <v>844.58839168337477</v>
      </c>
      <c r="L28" s="6" t="str">
        <f t="shared" si="1"/>
        <v>Obese</v>
      </c>
    </row>
    <row r="29" spans="1:12" x14ac:dyDescent="0.3">
      <c r="A29" s="6" t="s">
        <v>43</v>
      </c>
      <c r="B29" s="6">
        <v>42</v>
      </c>
      <c r="C29" s="6" t="s">
        <v>12</v>
      </c>
      <c r="D29" s="6">
        <v>15.35</v>
      </c>
      <c r="E29" s="6">
        <v>19.88</v>
      </c>
      <c r="F29" s="6">
        <v>1</v>
      </c>
      <c r="G29" s="6">
        <v>2</v>
      </c>
      <c r="H29" s="6">
        <v>2</v>
      </c>
      <c r="I29" s="6">
        <v>2.8</v>
      </c>
      <c r="J29" s="6" t="s">
        <v>13</v>
      </c>
      <c r="K29" s="7">
        <f t="shared" si="0"/>
        <v>843.72247981410942</v>
      </c>
      <c r="L29" s="6" t="str">
        <f t="shared" si="1"/>
        <v>Obese</v>
      </c>
    </row>
    <row r="30" spans="1:12" x14ac:dyDescent="0.3">
      <c r="A30" s="6" t="s">
        <v>44</v>
      </c>
      <c r="B30" s="6">
        <v>59</v>
      </c>
      <c r="C30" s="6" t="s">
        <v>12</v>
      </c>
      <c r="D30" s="6">
        <v>11.75</v>
      </c>
      <c r="E30" s="6">
        <v>24.56</v>
      </c>
      <c r="F30" s="6">
        <v>4</v>
      </c>
      <c r="G30" s="6">
        <v>4</v>
      </c>
      <c r="H30" s="6">
        <v>1</v>
      </c>
      <c r="I30" s="6">
        <v>1.7</v>
      </c>
      <c r="J30" s="6" t="s">
        <v>10</v>
      </c>
      <c r="K30" s="7">
        <f t="shared" si="0"/>
        <v>1778.9044816659123</v>
      </c>
      <c r="L30" s="6" t="str">
        <f t="shared" si="1"/>
        <v>Obese</v>
      </c>
    </row>
    <row r="31" spans="1:12" x14ac:dyDescent="0.3">
      <c r="A31" s="6" t="s">
        <v>19</v>
      </c>
      <c r="B31" s="6">
        <v>56</v>
      </c>
      <c r="C31" s="6" t="s">
        <v>12</v>
      </c>
      <c r="D31" s="6">
        <v>18</v>
      </c>
      <c r="E31" s="6">
        <v>22.24</v>
      </c>
      <c r="F31" s="6">
        <v>2</v>
      </c>
      <c r="G31" s="6">
        <v>4</v>
      </c>
      <c r="H31" s="6">
        <v>2</v>
      </c>
      <c r="I31" s="6">
        <v>1.1000000000000001</v>
      </c>
      <c r="J31" s="6" t="s">
        <v>11</v>
      </c>
      <c r="K31" s="7">
        <f t="shared" si="0"/>
        <v>686.41975308641975</v>
      </c>
      <c r="L31" s="6" t="str">
        <f t="shared" si="1"/>
        <v>Obese</v>
      </c>
    </row>
    <row r="32" spans="1:12" x14ac:dyDescent="0.3">
      <c r="A32" s="6" t="s">
        <v>45</v>
      </c>
      <c r="B32" s="6">
        <v>56</v>
      </c>
      <c r="C32" s="6" t="s">
        <v>12</v>
      </c>
      <c r="D32" s="6">
        <v>113.3</v>
      </c>
      <c r="E32" s="6">
        <v>2.4500000000000002</v>
      </c>
      <c r="F32" s="6">
        <v>2</v>
      </c>
      <c r="G32" s="6">
        <v>2</v>
      </c>
      <c r="H32" s="6">
        <v>2</v>
      </c>
      <c r="I32" s="6">
        <v>0.5</v>
      </c>
      <c r="J32" s="6" t="s">
        <v>15</v>
      </c>
      <c r="K32" s="7">
        <f t="shared" si="0"/>
        <v>1.9085619647749572</v>
      </c>
      <c r="L32" s="6" t="str">
        <f t="shared" si="1"/>
        <v>Underweight</v>
      </c>
    </row>
    <row r="33" spans="1:12" x14ac:dyDescent="0.3">
      <c r="A33" s="6" t="s">
        <v>46</v>
      </c>
      <c r="B33" s="6">
        <v>5</v>
      </c>
      <c r="C33" s="6" t="s">
        <v>9</v>
      </c>
      <c r="D33" s="6">
        <v>14.56</v>
      </c>
      <c r="E33" s="6">
        <v>21.62</v>
      </c>
      <c r="F33" s="6">
        <v>4</v>
      </c>
      <c r="G33" s="6">
        <v>1</v>
      </c>
      <c r="H33" s="6">
        <v>1</v>
      </c>
      <c r="I33" s="6">
        <v>2</v>
      </c>
      <c r="J33" s="6" t="s">
        <v>10</v>
      </c>
      <c r="K33" s="7">
        <f t="shared" si="0"/>
        <v>1019.8421084410096</v>
      </c>
      <c r="L33" s="6" t="str">
        <f t="shared" si="1"/>
        <v>Obese</v>
      </c>
    </row>
    <row r="34" spans="1:12" x14ac:dyDescent="0.3">
      <c r="A34" s="6" t="s">
        <v>47</v>
      </c>
      <c r="B34" s="6">
        <v>49</v>
      </c>
      <c r="C34" s="6" t="s">
        <v>12</v>
      </c>
      <c r="D34" s="6">
        <v>18.22</v>
      </c>
      <c r="E34" s="6">
        <v>19.55</v>
      </c>
      <c r="F34" s="6">
        <v>1</v>
      </c>
      <c r="G34" s="6">
        <v>1</v>
      </c>
      <c r="H34" s="6">
        <v>2</v>
      </c>
      <c r="I34" s="6">
        <v>1.6</v>
      </c>
      <c r="J34" s="6" t="s">
        <v>13</v>
      </c>
      <c r="K34" s="7">
        <f t="shared" si="0"/>
        <v>588.91147470662872</v>
      </c>
      <c r="L34" s="6" t="str">
        <f t="shared" si="1"/>
        <v>Obese</v>
      </c>
    </row>
    <row r="35" spans="1:12" x14ac:dyDescent="0.3">
      <c r="A35" s="6" t="s">
        <v>48</v>
      </c>
      <c r="B35" s="6">
        <v>32</v>
      </c>
      <c r="C35" s="6" t="s">
        <v>9</v>
      </c>
      <c r="D35" s="6">
        <v>97.69</v>
      </c>
      <c r="E35" s="6">
        <v>18.399999999999999</v>
      </c>
      <c r="F35" s="6">
        <v>3</v>
      </c>
      <c r="G35" s="6">
        <v>2</v>
      </c>
      <c r="H35" s="6">
        <v>2</v>
      </c>
      <c r="I35" s="6">
        <v>2.2000000000000002</v>
      </c>
      <c r="J35" s="6" t="s">
        <v>10</v>
      </c>
      <c r="K35" s="7">
        <f t="shared" si="0"/>
        <v>19.280469436678437</v>
      </c>
      <c r="L35" s="6" t="str">
        <f t="shared" si="1"/>
        <v>Healthy Weight</v>
      </c>
    </row>
    <row r="36" spans="1:12" x14ac:dyDescent="0.3">
      <c r="A36" s="6" t="s">
        <v>49</v>
      </c>
      <c r="B36" s="6">
        <v>52</v>
      </c>
      <c r="C36" s="6" t="s">
        <v>9</v>
      </c>
      <c r="D36" s="6">
        <v>14.99</v>
      </c>
      <c r="E36" s="6">
        <v>22.77</v>
      </c>
      <c r="F36" s="6">
        <v>3</v>
      </c>
      <c r="G36" s="6">
        <v>2</v>
      </c>
      <c r="H36" s="6">
        <v>1</v>
      </c>
      <c r="I36" s="6">
        <v>1.1000000000000001</v>
      </c>
      <c r="J36" s="6" t="s">
        <v>11</v>
      </c>
      <c r="K36" s="7">
        <f t="shared" si="0"/>
        <v>1013.3506838670743</v>
      </c>
      <c r="L36" s="6" t="str">
        <f t="shared" si="1"/>
        <v>Obese</v>
      </c>
    </row>
    <row r="37" spans="1:12" x14ac:dyDescent="0.3">
      <c r="A37" s="6" t="s">
        <v>50</v>
      </c>
      <c r="B37" s="6">
        <v>41</v>
      </c>
      <c r="C37" s="6" t="s">
        <v>9</v>
      </c>
      <c r="D37" s="6">
        <v>15.5</v>
      </c>
      <c r="E37" s="6">
        <v>2.1800000000000002</v>
      </c>
      <c r="F37" s="6">
        <v>1</v>
      </c>
      <c r="G37" s="6">
        <v>4</v>
      </c>
      <c r="H37" s="6">
        <v>3</v>
      </c>
      <c r="I37" s="6">
        <v>1.9</v>
      </c>
      <c r="J37" s="6" t="s">
        <v>14</v>
      </c>
      <c r="K37" s="7">
        <f t="shared" si="0"/>
        <v>90.738813735691991</v>
      </c>
      <c r="L37" s="6" t="str">
        <f t="shared" si="1"/>
        <v>Obese</v>
      </c>
    </row>
    <row r="38" spans="1:12" x14ac:dyDescent="0.3">
      <c r="A38" s="6" t="s">
        <v>51</v>
      </c>
      <c r="B38" s="6">
        <v>48</v>
      </c>
      <c r="C38" s="6" t="s">
        <v>12</v>
      </c>
      <c r="D38" s="6">
        <v>11.32</v>
      </c>
      <c r="E38" s="6">
        <v>21.93</v>
      </c>
      <c r="F38" s="6">
        <v>4</v>
      </c>
      <c r="G38" s="6">
        <v>2</v>
      </c>
      <c r="H38" s="6">
        <v>2</v>
      </c>
      <c r="I38" s="6">
        <v>2.8</v>
      </c>
      <c r="J38" s="6" t="s">
        <v>11</v>
      </c>
      <c r="K38" s="7">
        <f t="shared" si="0"/>
        <v>1711.377342706239</v>
      </c>
      <c r="L38" s="6" t="str">
        <f t="shared" si="1"/>
        <v>Obese</v>
      </c>
    </row>
    <row r="39" spans="1:12" x14ac:dyDescent="0.3">
      <c r="A39" s="6" t="s">
        <v>20</v>
      </c>
      <c r="B39" s="6">
        <v>54</v>
      </c>
      <c r="C39" s="6" t="s">
        <v>9</v>
      </c>
      <c r="D39" s="6">
        <v>19.829999999999998</v>
      </c>
      <c r="E39" s="6">
        <v>21.35</v>
      </c>
      <c r="F39" s="6">
        <v>3</v>
      </c>
      <c r="G39" s="6">
        <v>2</v>
      </c>
      <c r="H39" s="6">
        <v>1</v>
      </c>
      <c r="I39" s="6">
        <v>0.7</v>
      </c>
      <c r="J39" s="6" t="s">
        <v>14</v>
      </c>
      <c r="K39" s="7">
        <f t="shared" si="0"/>
        <v>542.94076554393655</v>
      </c>
      <c r="L39" s="6" t="str">
        <f t="shared" si="1"/>
        <v>Obese</v>
      </c>
    </row>
    <row r="40" spans="1:12" x14ac:dyDescent="0.3">
      <c r="A40" s="6" t="s">
        <v>52</v>
      </c>
      <c r="B40" s="6">
        <v>49</v>
      </c>
      <c r="C40" s="6" t="s">
        <v>12</v>
      </c>
      <c r="D40" s="6">
        <v>112.98</v>
      </c>
      <c r="E40" s="6">
        <v>18.22</v>
      </c>
      <c r="F40" s="6">
        <v>3</v>
      </c>
      <c r="G40" s="6">
        <v>1</v>
      </c>
      <c r="H40" s="6">
        <v>1</v>
      </c>
      <c r="I40" s="6">
        <v>1.7</v>
      </c>
      <c r="J40" s="6" t="s">
        <v>10</v>
      </c>
      <c r="K40" s="7">
        <f t="shared" si="0"/>
        <v>14.273984861929826</v>
      </c>
      <c r="L40" s="6" t="str">
        <f t="shared" si="1"/>
        <v>Underweight</v>
      </c>
    </row>
    <row r="41" spans="1:12" x14ac:dyDescent="0.3">
      <c r="A41" s="6" t="s">
        <v>53</v>
      </c>
      <c r="B41" s="6">
        <v>45</v>
      </c>
      <c r="C41" s="6" t="s">
        <v>9</v>
      </c>
      <c r="D41" s="6">
        <v>14.87</v>
      </c>
      <c r="E41" s="6">
        <v>19.66</v>
      </c>
      <c r="F41" s="6">
        <v>1</v>
      </c>
      <c r="G41" s="6">
        <v>4</v>
      </c>
      <c r="H41" s="6">
        <v>2</v>
      </c>
      <c r="I41" s="6">
        <v>1.1000000000000001</v>
      </c>
      <c r="J41" s="6" t="s">
        <v>15</v>
      </c>
      <c r="K41" s="7">
        <f t="shared" si="0"/>
        <v>889.12245061322767</v>
      </c>
      <c r="L41" s="6" t="str">
        <f t="shared" si="1"/>
        <v>Obese</v>
      </c>
    </row>
    <row r="42" spans="1:12" x14ac:dyDescent="0.3">
      <c r="A42" s="6" t="s">
        <v>54</v>
      </c>
      <c r="B42" s="6">
        <v>3</v>
      </c>
      <c r="C42" s="6" t="s">
        <v>12</v>
      </c>
      <c r="D42" s="6">
        <v>1.81</v>
      </c>
      <c r="E42" s="6">
        <v>14.39</v>
      </c>
      <c r="F42" s="6">
        <v>2</v>
      </c>
      <c r="G42" s="6">
        <v>4</v>
      </c>
      <c r="H42" s="6">
        <v>2</v>
      </c>
      <c r="I42" s="6">
        <v>2.6</v>
      </c>
      <c r="J42" s="6" t="s">
        <v>10</v>
      </c>
      <c r="K42" s="7">
        <f t="shared" si="0"/>
        <v>43924.178138640455</v>
      </c>
      <c r="L42" s="6" t="str">
        <f t="shared" si="1"/>
        <v>Obese</v>
      </c>
    </row>
    <row r="43" spans="1:12" x14ac:dyDescent="0.3">
      <c r="A43" s="6" t="s">
        <v>55</v>
      </c>
      <c r="B43" s="6">
        <v>29</v>
      </c>
      <c r="C43" s="6" t="s">
        <v>9</v>
      </c>
      <c r="D43" s="6">
        <v>11.16</v>
      </c>
      <c r="E43" s="6">
        <v>14.14</v>
      </c>
      <c r="F43" s="6">
        <v>2</v>
      </c>
      <c r="G43" s="6">
        <v>2</v>
      </c>
      <c r="H43" s="6">
        <v>3</v>
      </c>
      <c r="I43" s="6">
        <v>1.3</v>
      </c>
      <c r="J43" s="6" t="s">
        <v>10</v>
      </c>
      <c r="K43" s="7">
        <f t="shared" si="0"/>
        <v>1135.3271412237766</v>
      </c>
      <c r="L43" s="6" t="str">
        <f t="shared" si="1"/>
        <v>Obese</v>
      </c>
    </row>
    <row r="44" spans="1:12" x14ac:dyDescent="0.3">
      <c r="A44" s="6" t="s">
        <v>56</v>
      </c>
      <c r="B44" s="6">
        <v>25</v>
      </c>
      <c r="C44" s="6" t="s">
        <v>9</v>
      </c>
      <c r="D44" s="6">
        <v>99.72</v>
      </c>
      <c r="E44" s="6">
        <v>14.9</v>
      </c>
      <c r="F44" s="6">
        <v>4</v>
      </c>
      <c r="G44" s="6">
        <v>2</v>
      </c>
      <c r="H44" s="6">
        <v>3</v>
      </c>
      <c r="I44" s="6">
        <v>2.2000000000000002</v>
      </c>
      <c r="J44" s="6" t="s">
        <v>11</v>
      </c>
      <c r="K44" s="7">
        <f t="shared" si="0"/>
        <v>14.983791760933824</v>
      </c>
      <c r="L44" s="6" t="str">
        <f t="shared" si="1"/>
        <v>Underweight</v>
      </c>
    </row>
    <row r="45" spans="1:12" x14ac:dyDescent="0.3">
      <c r="A45" s="6" t="s">
        <v>21</v>
      </c>
      <c r="B45" s="6">
        <v>53</v>
      </c>
      <c r="C45" s="6" t="s">
        <v>12</v>
      </c>
      <c r="D45" s="6">
        <v>16.440000000000001</v>
      </c>
      <c r="E45" s="6">
        <v>2.73</v>
      </c>
      <c r="F45" s="6">
        <v>4</v>
      </c>
      <c r="G45" s="6">
        <v>3</v>
      </c>
      <c r="H45" s="6">
        <v>2</v>
      </c>
      <c r="I45" s="6">
        <v>2</v>
      </c>
      <c r="J45" s="6" t="s">
        <v>10</v>
      </c>
      <c r="K45" s="7">
        <f t="shared" si="0"/>
        <v>101.00875557213132</v>
      </c>
      <c r="L45" s="6" t="str">
        <f t="shared" si="1"/>
        <v>Obese</v>
      </c>
    </row>
    <row r="46" spans="1:12" x14ac:dyDescent="0.3">
      <c r="A46" s="6" t="s">
        <v>57</v>
      </c>
      <c r="B46" s="6">
        <v>26</v>
      </c>
      <c r="C46" s="6" t="s">
        <v>12</v>
      </c>
      <c r="D46" s="6">
        <v>92.8</v>
      </c>
      <c r="E46" s="6">
        <v>15.29</v>
      </c>
      <c r="F46" s="6">
        <v>4</v>
      </c>
      <c r="G46" s="6">
        <v>1</v>
      </c>
      <c r="H46" s="6">
        <v>2</v>
      </c>
      <c r="I46" s="6">
        <v>2.6</v>
      </c>
      <c r="J46" s="6" t="s">
        <v>13</v>
      </c>
      <c r="K46" s="7">
        <f t="shared" si="0"/>
        <v>17.754626189060644</v>
      </c>
      <c r="L46" s="6" t="str">
        <f t="shared" si="1"/>
        <v>Underweight</v>
      </c>
    </row>
    <row r="47" spans="1:12" x14ac:dyDescent="0.3">
      <c r="A47" s="6" t="s">
        <v>58</v>
      </c>
      <c r="B47" s="6">
        <v>25</v>
      </c>
      <c r="C47" s="6" t="s">
        <v>9</v>
      </c>
      <c r="D47" s="6">
        <v>96.42</v>
      </c>
      <c r="E47" s="6">
        <v>15.34</v>
      </c>
      <c r="F47" s="6">
        <v>4</v>
      </c>
      <c r="G47" s="6">
        <v>3</v>
      </c>
      <c r="H47" s="6">
        <v>2</v>
      </c>
      <c r="I47" s="6">
        <v>0.9</v>
      </c>
      <c r="J47" s="6" t="s">
        <v>13</v>
      </c>
      <c r="K47" s="7">
        <f t="shared" si="0"/>
        <v>16.500272071630885</v>
      </c>
      <c r="L47" s="6" t="str">
        <f t="shared" si="1"/>
        <v>Underweight</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vt:lpstr>
      <vt:lpstr>2</vt:lpstr>
      <vt:lpstr>3</vt:lpstr>
      <vt:lpstr>4</vt:lpstr>
      <vt:lpstr>summary</vt:lpstr>
      <vt:lpstr>Dashboard</vt:lpstr>
      <vt:lpstr>Child_Health_Data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sravan kumar</dc:creator>
  <cp:lastModifiedBy>sravan kumar</cp:lastModifiedBy>
  <dcterms:created xsi:type="dcterms:W3CDTF">2026-03-18T05:59:37Z</dcterms:created>
  <dcterms:modified xsi:type="dcterms:W3CDTF">2026-03-18T13:34:03Z</dcterms:modified>
</cp:coreProperties>
</file>